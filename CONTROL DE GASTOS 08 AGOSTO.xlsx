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TEWAY\Desktop\CLIENTES DE CONSULTORIA\TODO ELECTRICO VALENCIA\ARCHIVOS DE SEGUIMIENTO 2026\"/>
    </mc:Choice>
  </mc:AlternateContent>
  <bookViews>
    <workbookView xWindow="0" yWindow="0" windowWidth="23040" windowHeight="8496" activeTab="2"/>
  </bookViews>
  <sheets>
    <sheet name="Gastos Ordinarios Mes a Mes" sheetId="7" r:id="rId1"/>
    <sheet name="AUXILIAR DE CLASIFICACION" sheetId="8" r:id="rId2"/>
    <sheet name="ALERTA" sheetId="9" r:id="rId3"/>
    <sheet name="TABLA DINAMICA ACTUALIZAR " sheetId="11" r:id="rId4"/>
  </sheets>
  <calcPr calcId="162913"/>
  <pivotCaches>
    <pivotCache cacheId="16" r:id="rId5"/>
  </pivotCaches>
</workbook>
</file>

<file path=xl/calcChain.xml><?xml version="1.0" encoding="utf-8"?>
<calcChain xmlns="http://schemas.openxmlformats.org/spreadsheetml/2006/main">
  <c r="F19" i="9" l="1"/>
  <c r="G19" i="9" s="1"/>
  <c r="E19" i="9"/>
  <c r="J8" i="9" s="1"/>
  <c r="I8" i="9"/>
  <c r="E11" i="9"/>
  <c r="E12" i="9"/>
  <c r="E13" i="9"/>
  <c r="E14" i="9"/>
  <c r="E15" i="9"/>
  <c r="E16" i="9"/>
  <c r="E17" i="9"/>
  <c r="E18" i="9"/>
  <c r="F18" i="9" s="1"/>
  <c r="G18" i="9" s="1"/>
  <c r="E8" i="9"/>
  <c r="E9" i="9"/>
  <c r="E10" i="9"/>
  <c r="E7" i="9"/>
  <c r="D19" i="9"/>
  <c r="D6" i="11" l="1"/>
  <c r="D7" i="11"/>
  <c r="D8" i="11"/>
  <c r="D9" i="11"/>
  <c r="D10" i="11"/>
  <c r="D11" i="11"/>
  <c r="D12" i="11"/>
  <c r="D13" i="11"/>
  <c r="D14" i="11"/>
  <c r="D15" i="11"/>
  <c r="D5" i="11"/>
  <c r="B84" i="7"/>
  <c r="E84" i="7"/>
  <c r="B85" i="7"/>
  <c r="E85" i="7"/>
  <c r="B86" i="7"/>
  <c r="E86" i="7"/>
  <c r="B80" i="7" l="1"/>
  <c r="E80" i="7"/>
  <c r="G80" i="7"/>
  <c r="F46" i="7"/>
  <c r="B27" i="7"/>
  <c r="E27" i="7"/>
  <c r="B26" i="7"/>
  <c r="E26" i="7"/>
  <c r="B6" i="7"/>
  <c r="E6" i="7"/>
  <c r="B21" i="7"/>
  <c r="E21" i="7"/>
  <c r="B48" i="7"/>
  <c r="E48" i="7"/>
  <c r="B47" i="7"/>
  <c r="E47" i="7"/>
  <c r="B51" i="7"/>
  <c r="E51" i="7"/>
  <c r="G51" i="7"/>
  <c r="B49" i="7"/>
  <c r="E49" i="7"/>
  <c r="G49" i="7"/>
  <c r="B50" i="7"/>
  <c r="E50" i="7"/>
  <c r="G50" i="7"/>
  <c r="B60" i="7" l="1"/>
  <c r="E60" i="7"/>
  <c r="B68" i="7"/>
  <c r="E68" i="7"/>
  <c r="G68" i="7"/>
  <c r="B69" i="7"/>
  <c r="E69" i="7"/>
  <c r="G69" i="7"/>
  <c r="B66" i="7"/>
  <c r="E66" i="7"/>
  <c r="G66" i="7"/>
  <c r="B67" i="7"/>
  <c r="E67" i="7"/>
  <c r="G67" i="7"/>
  <c r="B65" i="7"/>
  <c r="E65" i="7"/>
  <c r="G65" i="7"/>
  <c r="B63" i="7"/>
  <c r="E63" i="7"/>
  <c r="G63" i="7"/>
  <c r="B64" i="7"/>
  <c r="E64" i="7"/>
  <c r="G64" i="7"/>
  <c r="B17" i="7"/>
  <c r="E17" i="7"/>
  <c r="G17" i="7"/>
  <c r="G43" i="7"/>
  <c r="E9" i="7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7" i="9"/>
  <c r="G7" i="9" s="1"/>
  <c r="G83" i="7"/>
  <c r="E83" i="7"/>
  <c r="B83" i="7"/>
  <c r="G82" i="7"/>
  <c r="E82" i="7"/>
  <c r="B82" i="7"/>
  <c r="G81" i="7"/>
  <c r="E81" i="7"/>
  <c r="B81" i="7"/>
  <c r="G79" i="7"/>
  <c r="E79" i="7"/>
  <c r="B79" i="7"/>
  <c r="G78" i="7"/>
  <c r="E78" i="7"/>
  <c r="B78" i="7"/>
  <c r="G77" i="7"/>
  <c r="E77" i="7"/>
  <c r="B77" i="7"/>
  <c r="G76" i="7"/>
  <c r="E76" i="7"/>
  <c r="B76" i="7"/>
  <c r="G75" i="7"/>
  <c r="E75" i="7"/>
  <c r="B75" i="7"/>
  <c r="G74" i="7"/>
  <c r="E74" i="7"/>
  <c r="B74" i="7"/>
  <c r="G73" i="7"/>
  <c r="E73" i="7"/>
  <c r="B73" i="7"/>
  <c r="G72" i="7"/>
  <c r="E72" i="7"/>
  <c r="B72" i="7"/>
  <c r="G71" i="7"/>
  <c r="E71" i="7"/>
  <c r="B71" i="7"/>
  <c r="G70" i="7"/>
  <c r="E70" i="7"/>
  <c r="B70" i="7"/>
  <c r="G62" i="7"/>
  <c r="E62" i="7"/>
  <c r="B62" i="7"/>
  <c r="G61" i="7"/>
  <c r="E61" i="7"/>
  <c r="B61" i="7"/>
  <c r="G59" i="7"/>
  <c r="E59" i="7"/>
  <c r="B59" i="7"/>
  <c r="G58" i="7"/>
  <c r="E58" i="7"/>
  <c r="B58" i="7"/>
  <c r="G57" i="7"/>
  <c r="E57" i="7"/>
  <c r="B57" i="7"/>
  <c r="G56" i="7"/>
  <c r="E56" i="7"/>
  <c r="B56" i="7"/>
  <c r="G55" i="7"/>
  <c r="E55" i="7"/>
  <c r="B55" i="7"/>
  <c r="G54" i="7"/>
  <c r="E54" i="7"/>
  <c r="B54" i="7"/>
  <c r="G53" i="7"/>
  <c r="E53" i="7"/>
  <c r="B53" i="7"/>
  <c r="G52" i="7"/>
  <c r="E52" i="7"/>
  <c r="B52" i="7"/>
  <c r="G46" i="7"/>
  <c r="E46" i="7"/>
  <c r="B46" i="7"/>
  <c r="G45" i="7"/>
  <c r="E45" i="7"/>
  <c r="B45" i="7"/>
  <c r="G44" i="7"/>
  <c r="E44" i="7"/>
  <c r="B44" i="7"/>
  <c r="E43" i="7"/>
  <c r="B43" i="7"/>
  <c r="G42" i="7"/>
  <c r="E42" i="7"/>
  <c r="B42" i="7"/>
  <c r="G41" i="7"/>
  <c r="E41" i="7"/>
  <c r="B41" i="7"/>
  <c r="G40" i="7"/>
  <c r="E40" i="7"/>
  <c r="B40" i="7"/>
  <c r="G39" i="7"/>
  <c r="E39" i="7"/>
  <c r="B39" i="7"/>
  <c r="G38" i="7"/>
  <c r="E38" i="7"/>
  <c r="B38" i="7"/>
  <c r="G37" i="7"/>
  <c r="E37" i="7"/>
  <c r="B37" i="7"/>
  <c r="G36" i="7"/>
  <c r="E36" i="7"/>
  <c r="B36" i="7"/>
  <c r="G35" i="7"/>
  <c r="E35" i="7"/>
  <c r="B35" i="7"/>
  <c r="G34" i="7"/>
  <c r="E34" i="7"/>
  <c r="B34" i="7"/>
  <c r="G33" i="7"/>
  <c r="E33" i="7"/>
  <c r="B33" i="7"/>
  <c r="G32" i="7"/>
  <c r="E32" i="7"/>
  <c r="B32" i="7"/>
  <c r="G31" i="7"/>
  <c r="E31" i="7"/>
  <c r="B31" i="7"/>
  <c r="G30" i="7"/>
  <c r="E30" i="7"/>
  <c r="B30" i="7"/>
  <c r="G29" i="7"/>
  <c r="E29" i="7"/>
  <c r="B29" i="7"/>
  <c r="G28" i="7"/>
  <c r="E28" i="7"/>
  <c r="B28" i="7"/>
  <c r="G25" i="7"/>
  <c r="E25" i="7"/>
  <c r="B25" i="7"/>
  <c r="G24" i="7"/>
  <c r="E24" i="7"/>
  <c r="B24" i="7"/>
  <c r="G23" i="7"/>
  <c r="E23" i="7"/>
  <c r="B23" i="7"/>
  <c r="G22" i="7"/>
  <c r="E22" i="7"/>
  <c r="B22" i="7"/>
  <c r="G20" i="7"/>
  <c r="E20" i="7"/>
  <c r="B20" i="7"/>
  <c r="G19" i="7"/>
  <c r="E19" i="7"/>
  <c r="B19" i="7"/>
  <c r="G18" i="7"/>
  <c r="E18" i="7"/>
  <c r="B18" i="7"/>
  <c r="G16" i="7"/>
  <c r="E16" i="7"/>
  <c r="B16" i="7"/>
  <c r="G15" i="7"/>
  <c r="E15" i="7"/>
  <c r="B15" i="7"/>
  <c r="G14" i="7"/>
  <c r="E14" i="7"/>
  <c r="B14" i="7"/>
  <c r="G13" i="7"/>
  <c r="E13" i="7"/>
  <c r="B13" i="7"/>
  <c r="G12" i="7"/>
  <c r="E12" i="7"/>
  <c r="B12" i="7"/>
  <c r="G11" i="7"/>
  <c r="E11" i="7"/>
  <c r="B11" i="7"/>
  <c r="G10" i="7"/>
  <c r="E10" i="7"/>
  <c r="B10" i="7"/>
  <c r="G9" i="7"/>
  <c r="B9" i="7"/>
  <c r="G8" i="7"/>
  <c r="E8" i="7"/>
  <c r="B8" i="7"/>
  <c r="G7" i="7"/>
  <c r="E7" i="7"/>
  <c r="B7" i="7"/>
  <c r="G5" i="7"/>
  <c r="E5" i="7"/>
  <c r="B5" i="7"/>
  <c r="G4" i="7"/>
  <c r="E4" i="7"/>
  <c r="B4" i="7"/>
  <c r="G3" i="7"/>
  <c r="E3" i="7"/>
  <c r="B3" i="7"/>
  <c r="G2" i="7"/>
  <c r="E2" i="7"/>
  <c r="B2" i="7"/>
  <c r="F8" i="9" l="1"/>
  <c r="G8" i="9" s="1"/>
  <c r="K8" i="9"/>
  <c r="G87" i="7"/>
</calcChain>
</file>

<file path=xl/sharedStrings.xml><?xml version="1.0" encoding="utf-8"?>
<sst xmlns="http://schemas.openxmlformats.org/spreadsheetml/2006/main" count="149" uniqueCount="115">
  <si>
    <t xml:space="preserve">Fecha </t>
  </si>
  <si>
    <t>Mes</t>
  </si>
  <si>
    <t>Descripcion</t>
  </si>
  <si>
    <t>ID</t>
  </si>
  <si>
    <t>Concepto</t>
  </si>
  <si>
    <t>Monto Bs</t>
  </si>
  <si>
    <t>Monto $</t>
  </si>
  <si>
    <t xml:space="preserve">Tasa </t>
  </si>
  <si>
    <t>PRESUPUESTO</t>
  </si>
  <si>
    <t>MONTO MAXIMO</t>
  </si>
  <si>
    <t>MONTO GASTADO</t>
  </si>
  <si>
    <t>RESTANTE</t>
  </si>
  <si>
    <t>STATUS</t>
  </si>
  <si>
    <t>Impuestos Seniat</t>
  </si>
  <si>
    <t>MONTO PRESUPUESTO</t>
  </si>
  <si>
    <t>GASTO TOTAL</t>
  </si>
  <si>
    <t>PORCENTAJE</t>
  </si>
  <si>
    <t>Impuestos Municipales</t>
  </si>
  <si>
    <t>Parafiscales</t>
  </si>
  <si>
    <t xml:space="preserve">Servicios  </t>
  </si>
  <si>
    <t>Gastos Operativos y Mantenimiento</t>
  </si>
  <si>
    <t>Alquileres</t>
  </si>
  <si>
    <t>Nomina y Pasivos Laborales</t>
  </si>
  <si>
    <t>Comisiones por venta</t>
  </si>
  <si>
    <t>Gastos Extraordinarios</t>
  </si>
  <si>
    <t>Compras de Bienes</t>
  </si>
  <si>
    <t xml:space="preserve">Retiros de Accionista </t>
  </si>
  <si>
    <t>TIPO DE GASTO</t>
  </si>
  <si>
    <t>Suma de Monto $</t>
  </si>
  <si>
    <t>Etiquetas de columna</t>
  </si>
  <si>
    <t>Etiquetas de fila</t>
  </si>
  <si>
    <t>Total general</t>
  </si>
  <si>
    <t>TRABAJO DESTAPE DE CAÑERIA RUBEN PLOMERO</t>
  </si>
  <si>
    <t>CONTINUACION DE DESTAPE DE CAÑERIA RUBEN PLOMERO</t>
  </si>
  <si>
    <t xml:space="preserve">COMPRA DE MATERIALES DESTAPE DE CAÑERIA </t>
  </si>
  <si>
    <t xml:space="preserve">COMPRA DE COMIDA DESTAPE DE CAÑERIA DANIEL ZABALA </t>
  </si>
  <si>
    <t xml:space="preserve">HONORARIOS CONTRATO DE ARRENDAMIENTO </t>
  </si>
  <si>
    <t xml:space="preserve">COMPLEMENTO TRABAJO DESTAPE DE CAÑERIA </t>
  </si>
  <si>
    <t xml:space="preserve">LIQUIDACION RENUNCIA DANIEL CARRILLO </t>
  </si>
  <si>
    <t xml:space="preserve">REPARACION DE LAMINA DE DRYWALL PASILLO CAÑERIA </t>
  </si>
  <si>
    <t xml:space="preserve">COMPRA GLOBOS CUMPLEAÑOS YURIMA </t>
  </si>
  <si>
    <t>GASOLINA PANEL DANIEL RODRIGUEZ</t>
  </si>
  <si>
    <t xml:space="preserve">COMPRA DE SNACK Y REFRESCOS CUMPLEAÑOS SRA YURIMA </t>
  </si>
  <si>
    <t>COMPRA CUADERNO ALMACEN</t>
  </si>
  <si>
    <t>COMISION POR VENTA SEMAN 27/7/26 AL 01/8/26</t>
  </si>
  <si>
    <t>PAGO TORTA CUMPLEAÑOS DE YURIMA</t>
  </si>
  <si>
    <t>COMPRA DE CESTAS NEGRAS PARA ALMACEN 10 UND</t>
  </si>
  <si>
    <t xml:space="preserve">PAGO COMPRA DE RAMPLU DE EXPANSIÓN </t>
  </si>
  <si>
    <t xml:space="preserve">DOS DIAS DE TRABAJO Y APERTURA DANIEL ZABALA </t>
  </si>
  <si>
    <t xml:space="preserve">COMPRA DE CAFÉ Y AZUCAR PORA TIENDA </t>
  </si>
  <si>
    <t>COMISION POR VENTA SEMAN 03/8/26 AL 8/8/26</t>
  </si>
  <si>
    <t xml:space="preserve">RENOVACION LICENCIA ALCADIA ANUAL </t>
  </si>
  <si>
    <t>PAGO HIDROCENTO JULIO 2026</t>
  </si>
  <si>
    <t>PAGO MERCADO LIBRE AGOSTO 2026</t>
  </si>
  <si>
    <t>BONIFICACION ESPECIAL ORIANNA MONTILLA JULIO 2026</t>
  </si>
  <si>
    <t>BONIFICACION ESPECIAL YURIMA RAUSEO JULIO 2026</t>
  </si>
  <si>
    <t>PAGO DE NOMINA PRIMERA QUINCENA AGOSTO 15/8/26</t>
  </si>
  <si>
    <t xml:space="preserve">PAGO DE PEAJE VIAJE CABLESCA </t>
  </si>
  <si>
    <t>PAGO DE FLETE N° 2983 TRANSPORTE HERZALES</t>
  </si>
  <si>
    <t>COMPRA DE TERMO DE CAFÉ CLIENTES</t>
  </si>
  <si>
    <t>SEGUNDA COMPRA DE CESTAS NEGRAS ALMACEN 10 UND</t>
  </si>
  <si>
    <t xml:space="preserve">TRABAJOS REALIZADOS DANIEL ZABALA </t>
  </si>
  <si>
    <t>COMPRA GATARINA Y ANTIBIOTICO LUZ CLARITA</t>
  </si>
  <si>
    <t>PAGO CORPOELEC AGOSTO 2026</t>
  </si>
  <si>
    <t>HONORARIOS PROFESIONALES JESUS GALLARDO</t>
  </si>
  <si>
    <t>PAGO PAUTA PUBLICIDAD RADIO MAX DELIA 15/7/26 AL 15/8/26</t>
  </si>
  <si>
    <t>COMISIONES DE VENTA SEMANA DEL 10/8/26 AL 15/8/26</t>
  </si>
  <si>
    <t>PRIMERA CUOTA DE POLIZA CONTRA INCENDIO TEV</t>
  </si>
  <si>
    <t>IMPUESTO DECLARACION PAGO DE PENSIONES</t>
  </si>
  <si>
    <t>PAGO ALQUILER 15/7/26 AL 15/8/26</t>
  </si>
  <si>
    <t>IMPUESTO ANTICIPO DE ISLR FORMA 99044</t>
  </si>
  <si>
    <t>IMPUESTO RETENCION IVA FORMA 99035</t>
  </si>
  <si>
    <t>PAGO HECTOR PUBLICIDAD DEL 15/7/26 AL 15/8/26</t>
  </si>
  <si>
    <t xml:space="preserve">CUOTA 3/3 CESTA PARA ALMACEN </t>
  </si>
  <si>
    <t xml:space="preserve">TRABAJO Y DELIGENCIAS DANIEL ZABALA </t>
  </si>
  <si>
    <t>PAGO DE IMPUESTO ALCALDIA JULIO 26</t>
  </si>
  <si>
    <t>PAGO DE IVSS JULIO 2026</t>
  </si>
  <si>
    <t>Columna1</t>
  </si>
  <si>
    <t>HONORARIOS JULIO 2026 SABRINA AULAR</t>
  </si>
  <si>
    <t>PAGO DE NOMINA SEGUNDA QUINCENA AGOSTO 30/8/26</t>
  </si>
  <si>
    <t xml:space="preserve">CESTA AGRICOLA COLOR NEGRO </t>
  </si>
  <si>
    <t>PAGO DEL FAOV PERIODO JUNIO 2026</t>
  </si>
  <si>
    <t>REPARACIONES Y GESTIONAS VARIAS DANIEL ZABALA DEL 24/8/26 AL 28/8/26</t>
  </si>
  <si>
    <t xml:space="preserve">LIQUIDACION DOMINGO FIGUEROA </t>
  </si>
  <si>
    <t xml:space="preserve">COMPRA DE PAPELERIA </t>
  </si>
  <si>
    <t>PAGO FAOV  FORMA 80001 AGOSTO 2026</t>
  </si>
  <si>
    <t xml:space="preserve">REPARACION DE RADIADOR PANEL </t>
  </si>
  <si>
    <t xml:space="preserve">REPUESTO PARA AMBIENTADORES DE TIENDA </t>
  </si>
  <si>
    <t xml:space="preserve">COPRA DE PINZAS Y MARCADORES </t>
  </si>
  <si>
    <t>CAMBIO DE ACEITE DE LA PANEL DANIEL ZABALA</t>
  </si>
  <si>
    <t>COMPRA DE GLOBOS CUMPLE  SRA DALAY</t>
  </si>
  <si>
    <t xml:space="preserve">COMPRA DE SNACK Y REFRESCO SRA DALAY </t>
  </si>
  <si>
    <t xml:space="preserve">COMPRA DE PLATOS Y CUCHARILLAS CUMPLE SRA DALAY </t>
  </si>
  <si>
    <t>HONORARIOS PROFESIONALES JESUS GALLARDO QUINCENA 31/08</t>
  </si>
  <si>
    <t>PAGO DE MENSUALIDAD AGOSTO 2026</t>
  </si>
  <si>
    <t xml:space="preserve">PRIMER ANTICPO DE ISLR </t>
  </si>
  <si>
    <t xml:space="preserve">RETENCIONDE IVA </t>
  </si>
  <si>
    <t>RETENCION DE ISLR</t>
  </si>
  <si>
    <t>COMISONES DE VENTAS SEMANA DEL 17/8/26 AL 22/8</t>
  </si>
  <si>
    <t>COMISIONES A VENDEDORES DEL 24/8/26 AL 29/8/26</t>
  </si>
  <si>
    <t xml:space="preserve">PAGO DE FACTURA SERVITEPUY DOMINIO DE PAGINA WEB </t>
  </si>
  <si>
    <t xml:space="preserve">PAGO DE FACTURA SERVITEPUY RENOVACION DE PAGINA WEB </t>
  </si>
  <si>
    <t xml:space="preserve">PAGO FACTURA NET UNO </t>
  </si>
  <si>
    <t xml:space="preserve">PAGO DE FACTURA DIGITEL </t>
  </si>
  <si>
    <t>PAGO DE FACTURA GRUPO CASHEA</t>
  </si>
  <si>
    <t>PAGO FACTURA PEGAZO SUMINISTROS PAPELERIA</t>
  </si>
  <si>
    <t>PAGO DE FACTURA IMA JULIO 2026</t>
  </si>
  <si>
    <t>PAGO DE ESTACIONAMIENTO KIOTO AGOSTO 2026</t>
  </si>
  <si>
    <t>COMISIONES BANCARIAS BANESCO-BANCARIBE-MERCANTIL-BNC</t>
  </si>
  <si>
    <t>COMISIONES BANCARIAS BANCO DE VENZUELA</t>
  </si>
  <si>
    <t xml:space="preserve">gastos operativos </t>
  </si>
  <si>
    <t xml:space="preserve">Mantenimiento Flota </t>
  </si>
  <si>
    <t>Mantenimiento Flota</t>
  </si>
  <si>
    <t>August</t>
  </si>
  <si>
    <t>% participacion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</si>
</sst>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 * #,##0.00_ ;_ * \-#,##0.00_ ;_ * &quot;-&quot;??_ ;_ @_ "/>
    <numFmt numFmtId="165" formatCode="dd/mm/yyyy;@"/>
    <numFmt numFmtId="166" formatCode="_ * #,##0_ ;_ * \-#,##0_ ;_ * &quot;-&quot;??_ ;_ @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horizontal="center"/>
    </xf>
    <xf numFmtId="164" fontId="0" fillId="0" borderId="1" xfId="1" applyFont="1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164" fontId="0" fillId="0" borderId="4" xfId="1" applyFont="1" applyBorder="1"/>
    <xf numFmtId="164" fontId="0" fillId="0" borderId="5" xfId="1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4" fontId="0" fillId="0" borderId="0" xfId="1" applyFont="1"/>
    <xf numFmtId="165" fontId="2" fillId="0" borderId="0" xfId="0" applyNumberFormat="1" applyFont="1"/>
    <xf numFmtId="0" fontId="2" fillId="0" borderId="0" xfId="0" applyFont="1"/>
    <xf numFmtId="166" fontId="2" fillId="0" borderId="0" xfId="1" applyNumberFormat="1" applyFont="1"/>
    <xf numFmtId="164" fontId="2" fillId="0" borderId="0" xfId="1" applyFont="1"/>
    <xf numFmtId="165" fontId="3" fillId="0" borderId="0" xfId="0" applyNumberFormat="1" applyFont="1"/>
    <xf numFmtId="166" fontId="0" fillId="0" borderId="0" xfId="0" applyNumberFormat="1"/>
    <xf numFmtId="0" fontId="0" fillId="0" borderId="0" xfId="0" pivotButton="1"/>
    <xf numFmtId="165" fontId="5" fillId="0" borderId="0" xfId="0" applyNumberFormat="1" applyFont="1"/>
    <xf numFmtId="166" fontId="6" fillId="0" borderId="0" xfId="1" applyNumberFormat="1" applyFont="1"/>
    <xf numFmtId="165" fontId="7" fillId="0" borderId="0" xfId="0" applyNumberFormat="1" applyFont="1"/>
    <xf numFmtId="165" fontId="8" fillId="0" borderId="0" xfId="0" applyNumberFormat="1" applyFont="1"/>
    <xf numFmtId="166" fontId="9" fillId="0" borderId="0" xfId="1" applyNumberFormat="1" applyFont="1"/>
    <xf numFmtId="0" fontId="10" fillId="0" borderId="0" xfId="0" applyFont="1"/>
    <xf numFmtId="166" fontId="10" fillId="0" borderId="0" xfId="1" applyNumberFormat="1" applyFont="1"/>
    <xf numFmtId="164" fontId="0" fillId="3" borderId="0" xfId="1" applyFont="1" applyFill="1"/>
    <xf numFmtId="164" fontId="9" fillId="3" borderId="0" xfId="1" applyFont="1" applyFill="1"/>
    <xf numFmtId="164" fontId="12" fillId="3" borderId="0" xfId="1" applyFont="1" applyFill="1"/>
    <xf numFmtId="164" fontId="6" fillId="3" borderId="0" xfId="1" applyFont="1" applyFill="1"/>
    <xf numFmtId="164" fontId="11" fillId="3" borderId="0" xfId="1" applyFont="1" applyFill="1"/>
    <xf numFmtId="164" fontId="6" fillId="3" borderId="0" xfId="1" applyNumberFormat="1" applyFont="1" applyFill="1"/>
    <xf numFmtId="0" fontId="1" fillId="0" borderId="0" xfId="0" applyFont="1"/>
    <xf numFmtId="0" fontId="0" fillId="0" borderId="1" xfId="0" applyFill="1" applyBorder="1"/>
    <xf numFmtId="0" fontId="1" fillId="0" borderId="1" xfId="0" applyFont="1" applyBorder="1"/>
    <xf numFmtId="164" fontId="14" fillId="4" borderId="6" xfId="1" applyNumberFormat="1" applyFont="1" applyFill="1" applyBorder="1"/>
    <xf numFmtId="164" fontId="14" fillId="4" borderId="0" xfId="1" applyNumberFormat="1" applyFont="1" applyFill="1"/>
    <xf numFmtId="9" fontId="0" fillId="0" borderId="0" xfId="2" applyFont="1"/>
    <xf numFmtId="0" fontId="0" fillId="0" borderId="0" xfId="0" applyAlignment="1">
      <alignment horizontal="center"/>
    </xf>
    <xf numFmtId="0" fontId="0" fillId="0" borderId="0" xfId="0" applyNumberFormat="1"/>
    <xf numFmtId="43" fontId="0" fillId="0" borderId="0" xfId="0" applyNumberFormat="1"/>
    <xf numFmtId="0" fontId="0" fillId="0" borderId="7" xfId="0" applyFill="1" applyBorder="1"/>
  </cellXfs>
  <cellStyles count="3">
    <cellStyle name="Millares" xfId="1" builtinId="3"/>
    <cellStyle name="Normal" xfId="0" builtinId="0"/>
    <cellStyle name="Porcentaje" xfId="2" builtinId="5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numFmt numFmtId="166" formatCode="_ * #,##0_ ;_ * \-#,##0_ ;_ * &quot;-&quot;??_ ;_ @_ "/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 * #,##0_ ;_ * \-#,##0_ ;_ * &quot;-&quot;??_ ;_ @_ "/>
    </dxf>
    <dxf>
      <numFmt numFmtId="164" formatCode="_ * #,##0.00_ ;_ * \-#,##0.00_ ;_ * &quot;-&quot;??_ ;_ @_ "/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_ * #,##0.00_ ;_ * \-#,##0.00_ ;_ * &quot;-&quot;??_ ;_ @_ "/>
    </dxf>
    <dxf>
      <numFmt numFmtId="166" formatCode="_ * #,##0_ ;_ * \-#,##0_ ;_ * &quot;-&quot;??_ ;_ @_ "/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yy;@"/>
    </dxf>
    <dxf>
      <font>
        <b val="0"/>
        <i val="0"/>
        <strike val="0"/>
        <u val="none"/>
        <sz val="10"/>
        <color theme="1"/>
        <name val="Calibri"/>
        <scheme val="none"/>
      </font>
      <numFmt numFmtId="165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yy;@"/>
    </dxf>
    <dxf>
      <font>
        <sz val="10"/>
      </font>
      <numFmt numFmtId="165" formatCode="dd/mm/yyyy;@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1504950</xdr:colOff>
      <xdr:row>0</xdr:row>
      <xdr:rowOff>114300</xdr:rowOff>
    </xdr:from>
    <xdr:to>
      <xdr:col>6</xdr:col>
      <xdr:colOff>495300</xdr:colOff>
      <xdr:row>2</xdr:row>
      <xdr:rowOff>133350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000375" y="114300"/>
          <a:ext cx="4181475" cy="4000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>
              <a:latin typeface="Arial Black" panose="020B0A04020102020204" pitchFamily="34" charset="0"/>
            </a:rPr>
            <a:t>ALERTA DE PRESUPUESTO MENSUAL </a:t>
          </a:r>
        </a:p>
      </xdr:txBody>
    </xdr:sp>
    <xdr:clientData/>
  </xdr:twoCellAnchor>
  <xdr:twoCellAnchor editAs="oneCell">
    <xdr:from>
      <xdr:col>1</xdr:col>
      <xdr:colOff>76200</xdr:colOff>
      <xdr:row>0</xdr:row>
      <xdr:rowOff>121920</xdr:rowOff>
    </xdr:from>
    <xdr:to>
      <xdr:col>2</xdr:col>
      <xdr:colOff>779145</xdr:colOff>
      <xdr:row>4</xdr:row>
      <xdr:rowOff>26035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" y="121920"/>
          <a:ext cx="1436370" cy="666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TEWAY" refreshedDate="46268.544758217591" createdVersion="7" refreshedVersion="6" minRefreshableVersion="3" recordCount="85">
  <cacheSource type="worksheet">
    <worksheetSource name="Tabla1"/>
  </cacheSource>
  <cacheFields count="9">
    <cacheField name="Fecha " numFmtId="165">
      <sharedItems containsSemiMixedTypes="0" containsNonDate="0" containsDate="1" containsString="0" minDate="2026-08-01T00:00:00" maxDate="2026-09-01T00:00:00"/>
    </cacheField>
    <cacheField name="Mes" numFmtId="165">
      <sharedItems count="16">
        <s v="August"/>
        <s v="June" u="1"/>
        <s v="March" u="1"/>
        <s v="February" u="1"/>
        <s v="mayo" u="1"/>
        <s v="abril" u="1"/>
        <s v="julio" u="1"/>
        <s v="junio" u="1"/>
        <s v="January" u="1"/>
        <s v="enero" u="1"/>
        <s v="April" u="1"/>
        <s v="febrero" u="1"/>
        <s v="marzo" u="1"/>
        <s v="agosto" u="1"/>
        <s v="May" u="1"/>
        <s v="July" u="1"/>
      </sharedItems>
    </cacheField>
    <cacheField name="Descripcion" numFmtId="0">
      <sharedItems/>
    </cacheField>
    <cacheField name="ID" numFmtId="0">
      <sharedItems containsSemiMixedTypes="0" containsString="0" containsNumber="1" containsInteger="1" minValue="1" maxValue="12" count="11">
        <n v="9"/>
        <n v="4"/>
        <n v="7"/>
        <n v="12"/>
        <n v="8"/>
        <n v="2"/>
        <n v="1"/>
        <n v="6"/>
        <n v="3"/>
        <n v="11"/>
        <n v="5" u="1"/>
      </sharedItems>
    </cacheField>
    <cacheField name="Concepto" numFmtId="0">
      <sharedItems count="10">
        <s v="Gastos Extraordinarios"/>
        <s v="Servicios  "/>
        <s v="Nomina y Pasivos Laborales"/>
        <s v="Mantenimiento Flota "/>
        <s v="Comisiones por venta"/>
        <s v="Impuestos Municipales"/>
        <s v="Impuestos Seniat"/>
        <s v="Alquileres"/>
        <s v="Parafiscales"/>
        <s v="Retiros de Accionista "/>
      </sharedItems>
    </cacheField>
    <cacheField name="Monto Bs" numFmtId="166">
      <sharedItems containsString="0" containsBlank="1" containsNumber="1" minValue="35.4" maxValue="2040367.5"/>
    </cacheField>
    <cacheField name="Monto $" numFmtId="164">
      <sharedItems containsSemiMixedTypes="0" containsString="0" containsNumber="1" minValue="4.4951239333604225E-2" maxValue="2250"/>
    </cacheField>
    <cacheField name="Tasa " numFmtId="166">
      <sharedItems containsString="0" containsBlank="1" containsNumber="1" minValue="746.63" maxValue="922.69"/>
    </cacheField>
    <cacheField name="Columna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">
  <r>
    <d v="2026-08-01T00:00:00"/>
    <x v="0"/>
    <s v="TRABAJO DESTAPE DE CAÑERIA RUBEN PLOMERO"/>
    <x v="0"/>
    <x v="0"/>
    <n v="37439.32"/>
    <n v="50.14440887722165"/>
    <n v="746.63"/>
    <m/>
  </r>
  <r>
    <d v="2026-08-01T00:00:00"/>
    <x v="0"/>
    <s v="CONTINUACION DE DESTAPE DE CAÑERIA RUBEN PLOMERO"/>
    <x v="0"/>
    <x v="0"/>
    <n v="37439.32"/>
    <n v="50.14440887722165"/>
    <n v="746.63"/>
    <m/>
  </r>
  <r>
    <d v="2026-08-01T00:00:00"/>
    <x v="0"/>
    <s v="COMPRA DE MATERIALES DESTAPE DE CAÑERIA "/>
    <x v="0"/>
    <x v="0"/>
    <n v="130806"/>
    <n v="175.19521047908603"/>
    <n v="746.63"/>
    <m/>
  </r>
  <r>
    <d v="2026-08-01T00:00:00"/>
    <x v="0"/>
    <s v="COMPRA DE COMIDA DESTAPE DE CAÑERIA DANIEL ZABALA "/>
    <x v="0"/>
    <x v="0"/>
    <n v="13500"/>
    <n v="18.081245061141395"/>
    <n v="746.63"/>
    <m/>
  </r>
  <r>
    <d v="2026-08-01T00:00:00"/>
    <x v="0"/>
    <s v="PAGO DE FACTURA DIGITEL "/>
    <x v="1"/>
    <x v="1"/>
    <n v="21806.68"/>
    <n v="24.84"/>
    <n v="756.71"/>
    <m/>
  </r>
  <r>
    <d v="2026-08-03T00:00:00"/>
    <x v="0"/>
    <s v="HONORARIOS CONTRATO DE ARRENDAMIENTO "/>
    <x v="0"/>
    <x v="0"/>
    <n v="172238"/>
    <n v="200"/>
    <n v="861.19"/>
    <m/>
  </r>
  <r>
    <d v="2026-08-03T00:00:00"/>
    <x v="0"/>
    <s v="COMPLEMENTO TRABAJO DESTAPE DE CAÑERIA "/>
    <x v="0"/>
    <x v="0"/>
    <n v="359414.4"/>
    <n v="480.00000000000006"/>
    <n v="748.78"/>
    <m/>
  </r>
  <r>
    <d v="2026-08-04T00:00:00"/>
    <x v="0"/>
    <s v="LIQUIDACION RENUNCIA DANIEL CARRILLO "/>
    <x v="2"/>
    <x v="2"/>
    <n v="73400"/>
    <n v="97.594702761637564"/>
    <n v="752.09"/>
    <m/>
  </r>
  <r>
    <d v="2026-08-04T00:00:00"/>
    <x v="0"/>
    <s v="REPARACION DE LAMINA DE DRYWALL PASILLO CAÑERIA "/>
    <x v="0"/>
    <x v="0"/>
    <n v="23388"/>
    <n v="31.097342073422062"/>
    <n v="752.09"/>
    <m/>
  </r>
  <r>
    <d v="2026-08-04T00:00:00"/>
    <x v="0"/>
    <s v="COMPRA GLOBOS CUMPLEAÑOS YURIMA "/>
    <x v="0"/>
    <x v="0"/>
    <n v="6975.55"/>
    <n v="9.2748873140182688"/>
    <n v="752.09"/>
    <m/>
  </r>
  <r>
    <d v="2026-08-04T00:00:00"/>
    <x v="0"/>
    <s v="GASOLINA PANEL DANIEL RODRIGUEZ"/>
    <x v="3"/>
    <x v="3"/>
    <n v="15041.8"/>
    <n v="19.999999999999996"/>
    <n v="752.09"/>
    <m/>
  </r>
  <r>
    <d v="2026-08-04T00:00:00"/>
    <x v="0"/>
    <s v="COMPRA DE SNACK Y REFRESCOS CUMPLEAÑOS SRA YURIMA "/>
    <x v="0"/>
    <x v="0"/>
    <n v="9589.06"/>
    <n v="12.749883657540984"/>
    <n v="752.09"/>
    <m/>
  </r>
  <r>
    <d v="2026-08-05T00:00:00"/>
    <x v="0"/>
    <s v="COMPRA CUADERNO ALMACEN"/>
    <x v="0"/>
    <x v="0"/>
    <n v="3370"/>
    <n v="4.4808467071760028"/>
    <n v="752.09"/>
    <m/>
  </r>
  <r>
    <d v="2026-08-05T00:00:00"/>
    <x v="0"/>
    <s v="COMISION POR VENTA SEMAN 27/7/26 AL 01/8/26"/>
    <x v="4"/>
    <x v="4"/>
    <n v="108977.13"/>
    <n v="144.30998728746226"/>
    <n v="755.16"/>
    <m/>
  </r>
  <r>
    <d v="2026-08-06T00:00:00"/>
    <x v="0"/>
    <s v="PAGO TORTA CUMPLEAÑOS DE YURIMA"/>
    <x v="0"/>
    <x v="0"/>
    <n v="34913.599999999999"/>
    <n v="40.000458279390024"/>
    <n v="872.83"/>
    <m/>
  </r>
  <r>
    <d v="2026-08-07T00:00:00"/>
    <x v="0"/>
    <s v="LIQUIDACION DOMINGO FIGUEROA "/>
    <x v="2"/>
    <x v="2"/>
    <n v="66585.89"/>
    <n v="87.99393426808156"/>
    <n v="756.71"/>
    <m/>
  </r>
  <r>
    <d v="2026-08-07T00:00:00"/>
    <x v="0"/>
    <s v="COMPRA DE CESTAS NEGRAS PARA ALMACEN 10 UND"/>
    <x v="0"/>
    <x v="0"/>
    <n v="26156.7"/>
    <n v="30"/>
    <n v="871.89"/>
    <m/>
  </r>
  <r>
    <d v="2026-08-07T00:00:00"/>
    <x v="0"/>
    <s v="PAGO COMPRA DE RAMPLU DE EXPANSIÓN "/>
    <x v="0"/>
    <x v="0"/>
    <n v="14150"/>
    <n v="18.699369639624162"/>
    <n v="756.71"/>
    <m/>
  </r>
  <r>
    <d v="2026-08-07T00:00:00"/>
    <x v="0"/>
    <s v="DOS DIAS DE TRABAJO Y APERTURA DANIEL ZABALA "/>
    <x v="0"/>
    <x v="0"/>
    <n v="249714.3"/>
    <n v="329.99999999999994"/>
    <n v="756.71"/>
    <m/>
  </r>
  <r>
    <d v="2026-08-07T00:00:00"/>
    <x v="0"/>
    <s v="PAGO FACTURA NET UNO "/>
    <x v="1"/>
    <x v="1"/>
    <n v="42793.59"/>
    <n v="56.03"/>
    <n v="748.78639999999996"/>
    <m/>
  </r>
  <r>
    <d v="2026-08-08T00:00:00"/>
    <x v="0"/>
    <s v="COMPRA DE CAFÉ Y AZUCAR PORA TIENDA "/>
    <x v="0"/>
    <x v="0"/>
    <n v="39114.239999999998"/>
    <n v="51.689867981128828"/>
    <n v="756.71"/>
    <m/>
  </r>
  <r>
    <d v="2026-08-10T00:00:00"/>
    <x v="0"/>
    <s v="GASOLINA PANEL DANIEL RODRIGUEZ"/>
    <x v="3"/>
    <x v="3"/>
    <n v="15150.8"/>
    <n v="20"/>
    <n v="757.54"/>
    <m/>
  </r>
  <r>
    <d v="2026-08-10T00:00:00"/>
    <x v="0"/>
    <s v="COMISION POR VENTA SEMAN 03/8/26 AL 8/8/26"/>
    <x v="4"/>
    <x v="4"/>
    <n v="184036.76"/>
    <n v="242.93998996752649"/>
    <n v="757.54"/>
    <m/>
  </r>
  <r>
    <d v="2026-08-10T00:00:00"/>
    <x v="0"/>
    <s v="RENOVACION LICENCIA ALCADIA ANUAL "/>
    <x v="5"/>
    <x v="5"/>
    <n v="2604.92"/>
    <n v="3.4386567045964571"/>
    <n v="757.54"/>
    <m/>
  </r>
  <r>
    <d v="2026-08-10T00:00:00"/>
    <x v="0"/>
    <s v="PAGO DE FACTURA GRUPO CASHEA"/>
    <x v="1"/>
    <x v="1"/>
    <n v="15385.23"/>
    <n v="19.586206896551726"/>
    <n v="755.15520000000004"/>
    <m/>
  </r>
  <r>
    <d v="2026-08-11T00:00:00"/>
    <x v="0"/>
    <s v="PAGO FACTURA PEGAZO SUMINISTROS PAPELERIA"/>
    <x v="0"/>
    <x v="0"/>
    <n v="79166.880000000005"/>
    <n v="100"/>
    <n v="761.22"/>
    <m/>
  </r>
  <r>
    <d v="2026-08-12T00:00:00"/>
    <x v="0"/>
    <s v="PAGO HIDROCENTO JULIO 2026"/>
    <x v="1"/>
    <x v="1"/>
    <n v="38150.449999999997"/>
    <n v="49.912278406489172"/>
    <n v="764.35"/>
    <m/>
  </r>
  <r>
    <d v="2026-08-12T00:00:00"/>
    <x v="0"/>
    <s v="GASOLINA PANEL DANIEL RODRIGUEZ"/>
    <x v="3"/>
    <x v="3"/>
    <n v="15287"/>
    <n v="20"/>
    <n v="764.35"/>
    <m/>
  </r>
  <r>
    <d v="2026-08-13T00:00:00"/>
    <x v="0"/>
    <s v="PAGO MERCADO LIBRE AGOSTO 2026"/>
    <x v="1"/>
    <x v="1"/>
    <n v="19592.84"/>
    <n v="25.549435359778837"/>
    <n v="766.86"/>
    <m/>
  </r>
  <r>
    <d v="2026-08-13T00:00:00"/>
    <x v="0"/>
    <s v="BONIFICACION ESPECIAL ORIANNA MONTILLA JULIO 2026"/>
    <x v="0"/>
    <x v="0"/>
    <n v="84354.6"/>
    <n v="110"/>
    <n v="766.86"/>
    <m/>
  </r>
  <r>
    <d v="2026-08-13T00:00:00"/>
    <x v="0"/>
    <s v="BONIFICACION ESPECIAL YURIMA RAUSEO JULIO 2026"/>
    <x v="0"/>
    <x v="0"/>
    <n v="115029"/>
    <n v="150"/>
    <n v="766.86"/>
    <m/>
  </r>
  <r>
    <d v="2026-08-14T00:00:00"/>
    <x v="0"/>
    <s v="PAGO DE NOMINA PRIMERA QUINCENA AGOSTO 15/8/26"/>
    <x v="2"/>
    <x v="2"/>
    <n v="1127120"/>
    <n v="1458.9605850753996"/>
    <n v="772.55"/>
    <m/>
  </r>
  <r>
    <d v="2026-08-14T00:00:00"/>
    <x v="0"/>
    <s v="PAGO DE PEAJE VIAJE CABLESCA "/>
    <x v="3"/>
    <x v="3"/>
    <n v="1000"/>
    <n v="1.2968991142179049"/>
    <n v="771.07"/>
    <m/>
  </r>
  <r>
    <d v="2026-08-14T00:00:00"/>
    <x v="0"/>
    <s v="PAGO DE FLETE N° 2983 TRANSPORTE HERZALES"/>
    <x v="0"/>
    <x v="0"/>
    <n v="11566.05"/>
    <n v="14.999999999999998"/>
    <n v="771.07"/>
    <m/>
  </r>
  <r>
    <d v="2026-08-14T00:00:00"/>
    <x v="0"/>
    <s v="COMPRA DE TERMO DE CAFÉ CLIENTES"/>
    <x v="0"/>
    <x v="0"/>
    <n v="17724.25"/>
    <n v="22.986564125176702"/>
    <n v="771.07"/>
    <m/>
  </r>
  <r>
    <d v="2026-08-14T00:00:00"/>
    <x v="0"/>
    <s v="SEGUNDA COMPRA DE CESTAS NEGRAS ALMACEN 10 UND"/>
    <x v="0"/>
    <x v="0"/>
    <n v="53367"/>
    <n v="60"/>
    <n v="889.45"/>
    <m/>
  </r>
  <r>
    <d v="2026-08-14T00:00:00"/>
    <x v="0"/>
    <s v="TRABAJOS REALIZADOS DANIEL ZABALA "/>
    <x v="0"/>
    <x v="0"/>
    <n v="239031.7"/>
    <n v="310.02412420072375"/>
    <n v="771.01"/>
    <m/>
  </r>
  <r>
    <d v="2026-08-17T00:00:00"/>
    <x v="0"/>
    <s v="GASOLINA PANEL DANIEL RODRIGUEZ"/>
    <x v="3"/>
    <x v="3"/>
    <n v="15450.8"/>
    <n v="19.9997411170798"/>
    <n v="772.55"/>
    <m/>
  </r>
  <r>
    <d v="2026-08-17T00:00:00"/>
    <x v="0"/>
    <s v="COMPRA GATARINA Y ANTIBIOTICO LUZ CLARITA"/>
    <x v="0"/>
    <x v="0"/>
    <n v="13967.6"/>
    <n v="18.079865380881497"/>
    <n v="772.55"/>
    <m/>
  </r>
  <r>
    <d v="2026-08-18T00:00:00"/>
    <x v="0"/>
    <s v="PAGO CORPOELEC AGOSTO 2026"/>
    <x v="1"/>
    <x v="1"/>
    <n v="48303.54"/>
    <n v="62.46335880823991"/>
    <n v="773.31"/>
    <m/>
  </r>
  <r>
    <d v="2026-08-19T00:00:00"/>
    <x v="0"/>
    <s v="HONORARIOS PROFESIONALES JESUS GALLARDO"/>
    <x v="1"/>
    <x v="1"/>
    <n v="134673"/>
    <n v="150"/>
    <n v="897.82"/>
    <m/>
  </r>
  <r>
    <d v="2026-08-19T00:00:00"/>
    <x v="0"/>
    <s v="PAGO PAUTA PUBLICIDAD RADIO MAX DELIA 15/7/26 AL 15/8/26"/>
    <x v="1"/>
    <x v="1"/>
    <n v="77534"/>
    <n v="100"/>
    <n v="775.34"/>
    <m/>
  </r>
  <r>
    <d v="2026-08-19T00:00:00"/>
    <x v="0"/>
    <s v="COMISIONES DE VENTA SEMANA DEL 10/8/26 AL 15/8/26"/>
    <x v="4"/>
    <x v="4"/>
    <n v="99987.839999999997"/>
    <n v="128.95999174555678"/>
    <n v="775.34"/>
    <m/>
  </r>
  <r>
    <d v="2026-08-20T00:00:00"/>
    <x v="0"/>
    <s v="GASOLINA PANEL DANIEL RODRIGUEZ"/>
    <x v="3"/>
    <x v="3"/>
    <n v="15548"/>
    <n v="19.999485477605415"/>
    <n v="777.42"/>
    <m/>
  </r>
  <r>
    <d v="2026-08-20T00:00:00"/>
    <x v="0"/>
    <s v="PRIMERA CUOTA DE POLIZA CONTRA INCENDIO TEV"/>
    <x v="1"/>
    <x v="1"/>
    <n v="251464.27"/>
    <n v="323.45999588382085"/>
    <n v="777.42"/>
    <m/>
  </r>
  <r>
    <d v="2026-08-11T00:00:00"/>
    <x v="0"/>
    <s v="PAGO DE FACTURA SERVITEPUY DOMINIO DE PAGINA WEB "/>
    <x v="1"/>
    <x v="1"/>
    <n v="58993.57"/>
    <n v="74.517241379310349"/>
    <n v="761.22"/>
    <m/>
  </r>
  <r>
    <d v="2026-08-11T00:00:00"/>
    <x v="0"/>
    <s v="PAGO DE FACTURA SERVITEPUY RENOVACION DE PAGINA WEB "/>
    <x v="1"/>
    <x v="1"/>
    <n v="21657.77"/>
    <n v="27.353448275862071"/>
    <n v="761.22"/>
    <m/>
  </r>
  <r>
    <d v="2026-08-12T00:00:00"/>
    <x v="0"/>
    <s v="PRIMER ANTICPO DE ISLR "/>
    <x v="6"/>
    <x v="6"/>
    <n v="46766"/>
    <n v="61.18401255969124"/>
    <n v="764.35"/>
    <m/>
  </r>
  <r>
    <d v="2026-08-12T00:00:00"/>
    <x v="0"/>
    <s v="RETENCIONDE IVA "/>
    <x v="6"/>
    <x v="6"/>
    <n v="721339"/>
    <n v="943.72865833714923"/>
    <n v="764.35"/>
    <m/>
  </r>
  <r>
    <d v="2026-08-12T00:00:00"/>
    <x v="0"/>
    <s v="RETENCION DE ISLR"/>
    <x v="6"/>
    <x v="6"/>
    <n v="5518"/>
    <n v="7.2192058611892458"/>
    <n v="764.35"/>
    <m/>
  </r>
  <r>
    <d v="2026-08-20T00:00:00"/>
    <x v="0"/>
    <s v="IMPUESTO DECLARACION PAGO DE PENSIONES"/>
    <x v="6"/>
    <x v="6"/>
    <n v="145250.17000000001"/>
    <n v="186.83616320650358"/>
    <n v="777.42"/>
    <m/>
  </r>
  <r>
    <d v="2026-08-20T00:00:00"/>
    <x v="0"/>
    <s v="PAGO ALQUILER 15/7/26 AL 15/8/26"/>
    <x v="7"/>
    <x v="7"/>
    <n v="2040367.5"/>
    <n v="2250"/>
    <n v="906.83"/>
    <m/>
  </r>
  <r>
    <d v="2026-08-20T00:00:00"/>
    <x v="0"/>
    <s v="IMPUESTO ANTICIPO DE ISLR FORMA 99044"/>
    <x v="6"/>
    <x v="6"/>
    <n v="44789.02"/>
    <n v="57.61238455403771"/>
    <n v="777.42"/>
    <m/>
  </r>
  <r>
    <d v="2026-08-20T00:00:00"/>
    <x v="0"/>
    <s v="IMPUESTO RETENCION IVA FORMA 99035"/>
    <x v="6"/>
    <x v="6"/>
    <n v="261758.07999999999"/>
    <n v="336.70098531038565"/>
    <n v="777.42"/>
    <m/>
  </r>
  <r>
    <d v="2026-08-20T00:00:00"/>
    <x v="0"/>
    <s v="PAGO HECTOR PUBLICIDAD DEL 15/7/26 AL 15/8/26"/>
    <x v="1"/>
    <x v="1"/>
    <n v="208570.9"/>
    <n v="229.99999999999997"/>
    <n v="906.83"/>
    <m/>
  </r>
  <r>
    <d v="2026-08-21T00:00:00"/>
    <x v="0"/>
    <s v="CUOTA 3/3 CESTA PARA ALMACEN "/>
    <x v="0"/>
    <x v="0"/>
    <n v="50117.1"/>
    <n v="55"/>
    <n v="911.22"/>
    <m/>
  </r>
  <r>
    <d v="2026-08-22T00:00:00"/>
    <x v="0"/>
    <s v="TRABAJO Y DELIGENCIAS DANIEL ZABALA "/>
    <x v="0"/>
    <x v="0"/>
    <n v="350977.5"/>
    <n v="450"/>
    <n v="779.95"/>
    <m/>
  </r>
  <r>
    <d v="2026-08-24T00:00:00"/>
    <x v="0"/>
    <s v="GASOLINA PANEL DANIEL RODRIGUEZ"/>
    <x v="3"/>
    <x v="3"/>
    <n v="15693.2"/>
    <n v="20"/>
    <n v="784.66"/>
    <m/>
  </r>
  <r>
    <d v="2026-08-24T00:00:00"/>
    <x v="0"/>
    <s v="PAGO DE FACTURA IMA JULIO 2026"/>
    <x v="5"/>
    <x v="5"/>
    <n v="34275.74"/>
    <n v="43.508620689655174"/>
    <n v="757.54"/>
    <m/>
  </r>
  <r>
    <d v="2026-08-25T00:00:00"/>
    <x v="0"/>
    <s v="PAGO DE IMPUESTO ALCALDIA JULIO 26"/>
    <x v="5"/>
    <x v="5"/>
    <n v="234528.76"/>
    <n v="298.73611270332583"/>
    <n v="785.07"/>
    <m/>
  </r>
  <r>
    <d v="2026-08-25T00:00:00"/>
    <x v="0"/>
    <s v="COMISONES DE VENTAS SEMANA DEL 17/8/26 AL 22/8"/>
    <x v="4"/>
    <x v="4"/>
    <n v="107265.78"/>
    <n v="136.63212197638427"/>
    <n v="785.07"/>
    <m/>
  </r>
  <r>
    <d v="2026-08-25T00:00:00"/>
    <x v="0"/>
    <s v="COMPRA DE PAPELERIA "/>
    <x v="0"/>
    <x v="0"/>
    <n v="22291.82"/>
    <n v="28.394690919281082"/>
    <n v="785.07"/>
    <m/>
  </r>
  <r>
    <d v="2026-08-26T00:00:00"/>
    <x v="0"/>
    <s v="PAGO FAOV  FORMA 80001 AGOSTO 2026"/>
    <x v="8"/>
    <x v="8"/>
    <n v="17264.64"/>
    <n v="22.002701807152143"/>
    <n v="784.66"/>
    <m/>
  </r>
  <r>
    <d v="2026-08-26T00:00:00"/>
    <x v="0"/>
    <s v="REPARACION DE RADIADOR PANEL "/>
    <x v="3"/>
    <x v="3"/>
    <n v="27575"/>
    <n v="35.014983746444535"/>
    <n v="787.52"/>
    <m/>
  </r>
  <r>
    <d v="2026-08-27T00:00:00"/>
    <x v="0"/>
    <s v="COPRA DE PINZAS Y MARCADORES "/>
    <x v="0"/>
    <x v="0"/>
    <n v="7355.23"/>
    <n v="9.2948870242127075"/>
    <n v="791.32"/>
    <m/>
  </r>
  <r>
    <d v="2026-08-27T00:00:00"/>
    <x v="0"/>
    <s v="REPUESTO PARA AMBIENTADORES DE TIENDA "/>
    <x v="0"/>
    <x v="0"/>
    <n v="12242.06"/>
    <n v="15.470429156346356"/>
    <n v="791.32"/>
    <m/>
  </r>
  <r>
    <d v="2026-08-27T00:00:00"/>
    <x v="0"/>
    <s v="CAMBIO DE ACEITE DE LA PANEL DANIEL ZABALA"/>
    <x v="3"/>
    <x v="3"/>
    <n v="121863.28"/>
    <n v="154"/>
    <n v="791.32"/>
    <m/>
  </r>
  <r>
    <d v="2026-08-28T00:00:00"/>
    <x v="0"/>
    <s v="HONORARIOS JULIO 2026 SABRINA AULAR"/>
    <x v="1"/>
    <x v="1"/>
    <n v="114741.4"/>
    <n v="144.99999999999997"/>
    <n v="791.32"/>
    <m/>
  </r>
  <r>
    <d v="2026-08-28T00:00:00"/>
    <x v="0"/>
    <s v="PAGO DE NOMINA SEGUNDA QUINCENA AGOSTO 30/8/26"/>
    <x v="2"/>
    <x v="2"/>
    <n v="1429410"/>
    <n v="1805.5629239455834"/>
    <n v="791.67"/>
    <m/>
  </r>
  <r>
    <d v="2026-08-28T00:00:00"/>
    <x v="0"/>
    <s v="PAGO DE IVSS JULIO 2026"/>
    <x v="8"/>
    <x v="8"/>
    <n v="35.4"/>
    <n v="4.4951239333604225E-2"/>
    <n v="787.52"/>
    <m/>
  </r>
  <r>
    <d v="2026-08-28T00:00:00"/>
    <x v="0"/>
    <s v="CESTA AGRICOLA COLOR NEGRO "/>
    <x v="0"/>
    <x v="0"/>
    <n v="26734.52"/>
    <n v="29"/>
    <n v="921.88"/>
    <m/>
  </r>
  <r>
    <d v="2026-08-28T00:00:00"/>
    <x v="0"/>
    <s v="PAGO DEL FAOV PERIODO JUNIO 2026"/>
    <x v="8"/>
    <x v="8"/>
    <n v="17264.75"/>
    <n v="22.002841995259093"/>
    <n v="784.66"/>
    <m/>
  </r>
  <r>
    <d v="2026-08-28T00:00:00"/>
    <x v="0"/>
    <s v="REPARACIONES Y GESTIONAS VARIAS DANIEL ZABALA DEL 24/8/26 AL 28/8/26"/>
    <x v="0"/>
    <x v="0"/>
    <n v="277081"/>
    <n v="349.99557896598333"/>
    <n v="791.67"/>
    <m/>
  </r>
  <r>
    <d v="2026-08-31T00:00:00"/>
    <x v="0"/>
    <s v="COMPRA DE GLOBOS CUMPLE  SRA DALAY"/>
    <x v="0"/>
    <x v="0"/>
    <n v="5812.94"/>
    <n v="7.3119661882539395"/>
    <n v="794.99"/>
    <m/>
  </r>
  <r>
    <d v="2026-08-31T00:00:00"/>
    <x v="0"/>
    <s v="COMPRA DE SNACK Y REFRESCO SRA DALAY "/>
    <x v="0"/>
    <x v="0"/>
    <n v="11378.12"/>
    <n v="14.312280657618336"/>
    <n v="794.99"/>
    <m/>
  </r>
  <r>
    <d v="2026-08-31T00:00:00"/>
    <x v="0"/>
    <s v="COMISIONES A VENDEDORES DEL 24/8/26 AL 29/8/26"/>
    <x v="4"/>
    <x v="4"/>
    <n v="108651.28"/>
    <n v="136.66999584900438"/>
    <n v="794.99"/>
    <m/>
  </r>
  <r>
    <d v="2026-08-31T00:00:00"/>
    <x v="0"/>
    <s v="COMPRA DE PLATOS Y CUCHARILLAS CUMPLE SRA DALAY "/>
    <x v="0"/>
    <x v="0"/>
    <n v="3569.06"/>
    <n v="4.4894401187436319"/>
    <n v="794.99"/>
    <m/>
  </r>
  <r>
    <d v="2026-08-31T00:00:00"/>
    <x v="0"/>
    <s v="HONORARIOS PROFESIONALES JESUS GALLARDO QUINCENA 31/08"/>
    <x v="1"/>
    <x v="1"/>
    <n v="322941.5"/>
    <n v="350"/>
    <n v="922.69"/>
    <m/>
  </r>
  <r>
    <d v="2026-08-31T00:00:00"/>
    <x v="0"/>
    <s v="PAGO DE ESTACIONAMIENTO KIOTO AGOSTO 2026"/>
    <x v="0"/>
    <x v="0"/>
    <n v="116301"/>
    <n v="150"/>
    <n v="775.34"/>
    <m/>
  </r>
  <r>
    <d v="2026-08-31T00:00:00"/>
    <x v="0"/>
    <s v="PAGO DE MENSUALIDAD AGOSTO 2026"/>
    <x v="9"/>
    <x v="9"/>
    <n v="1589980"/>
    <n v="2000"/>
    <n v="794.99"/>
    <m/>
  </r>
  <r>
    <d v="2026-08-31T00:00:00"/>
    <x v="0"/>
    <s v="COMISIONES BANCARIAS BANESCO-BANCARIBE-MERCANTIL-BNC"/>
    <x v="0"/>
    <x v="0"/>
    <n v="100735.32"/>
    <n v="126.7126882099146"/>
    <n v="794.99"/>
    <m/>
  </r>
  <r>
    <d v="2026-08-31T00:00:00"/>
    <x v="0"/>
    <s v="COMISIONES BANCARIAS BANCO DE VENZUELA"/>
    <x v="0"/>
    <x v="0"/>
    <n v="30016.400000000001"/>
    <n v="37.756952917646764"/>
    <n v="794.99"/>
    <m/>
  </r>
  <r>
    <d v="2026-08-07T00:00:00"/>
    <x v="0"/>
    <s v="gastos operativos "/>
    <x v="0"/>
    <x v="0"/>
    <m/>
    <n v="93.224137931034491"/>
    <m/>
    <m/>
  </r>
  <r>
    <d v="2026-08-12T00:00:00"/>
    <x v="0"/>
    <s v="gastos operativos "/>
    <x v="0"/>
    <x v="0"/>
    <m/>
    <n v="23.27586206896552"/>
    <m/>
    <m/>
  </r>
  <r>
    <d v="2026-08-25T00:00:00"/>
    <x v="0"/>
    <s v="gastos operativos "/>
    <x v="0"/>
    <x v="0"/>
    <m/>
    <n v="57.66379310344827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6" applyNumberFormats="0" applyBorderFormats="0" applyFontFormats="0" applyPatternFormats="0" applyAlignmentFormats="0" applyWidthHeightFormats="1" dataCaption="Valores" updatedVersion="6" minRefreshableVersion="3" useAutoFormatting="1" createdVersion="7" indent="0" outline="1" outlineData="1" multipleFieldFilters="0">
  <location ref="A3:C15" firstHeaderRow="1" firstDataRow="2" firstDataCol="1"/>
  <pivotFields count="9">
    <pivotField showAll="0"/>
    <pivotField axis="axisCol" showAll="0">
      <items count="17">
        <item m="1" x="9"/>
        <item m="1" x="11"/>
        <item m="1" x="12"/>
        <item m="1" x="5"/>
        <item m="1" x="4"/>
        <item m="1" x="7"/>
        <item m="1" x="6"/>
        <item m="1" x="13"/>
        <item m="1" x="8"/>
        <item m="1" x="3"/>
        <item m="1" x="2"/>
        <item m="1" x="10"/>
        <item m="1" x="14"/>
        <item m="1" x="1"/>
        <item m="1" x="15"/>
        <item x="0"/>
        <item t="default"/>
      </items>
    </pivotField>
    <pivotField showAll="0"/>
    <pivotField axis="axisRow" showAll="0">
      <items count="12">
        <item sd="0" x="6"/>
        <item sd="0" x="5"/>
        <item sd="0" x="8"/>
        <item sd="0" x="1"/>
        <item sd="0" m="1" x="10"/>
        <item sd="0" x="7"/>
        <item sd="0" x="2"/>
        <item sd="0" x="4"/>
        <item sd="0" x="0"/>
        <item sd="0" x="9"/>
        <item sd="0" x="3"/>
        <item t="default" sd="0"/>
      </items>
    </pivotField>
    <pivotField axis="axisRow" showAll="0" sortType="descending">
      <items count="11">
        <item sd="0" x="7"/>
        <item sd="0" x="4"/>
        <item sd="0" x="0"/>
        <item sd="0" x="5"/>
        <item sd="0" x="6"/>
        <item sd="0" x="3"/>
        <item sd="0" x="2"/>
        <item sd="0" x="8"/>
        <item sd="0" x="9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/>
  </pivotFields>
  <rowFields count="2">
    <field x="3"/>
    <field x="4"/>
  </rowFields>
  <rowItems count="11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2">
    <i>
      <x v="15"/>
    </i>
    <i t="grand">
      <x/>
    </i>
  </colItems>
  <dataFields count="1">
    <dataField name="Suma de Monto $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I87" totalsRowCount="1">
  <autoFilter ref="A1:I86"/>
  <tableColumns count="9">
    <tableColumn id="1" name="Fecha " dataDxfId="11" totalsRowDxfId="10"/>
    <tableColumn id="7" name="Mes" dataDxfId="9" totalsRowDxfId="8">
      <calculatedColumnFormula>TEXT(Tabla1[[#This Row],[Fecha ]],"MMMM")</calculatedColumnFormula>
    </tableColumn>
    <tableColumn id="2" name="Descripcion"/>
    <tableColumn id="9" name="ID"/>
    <tableColumn id="3" name="Concepto">
      <calculatedColumnFormula>IFERROR(VLOOKUP(D:D,'AUXILIAR DE CLASIFICACION'!A:B,2,FALSE),"")</calculatedColumnFormula>
    </tableColumn>
    <tableColumn id="4" name="Monto Bs" dataDxfId="7" totalsRowDxfId="6"/>
    <tableColumn id="5" name="Monto $" totalsRowFunction="sum" dataDxfId="5" totalsRowDxfId="4">
      <calculatedColumnFormula>IFERROR(F2/H2,0)</calculatedColumnFormula>
    </tableColumn>
    <tableColumn id="6" name="Tasa " dataDxfId="3" totalsRowDxfId="2"/>
    <tableColumn id="8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Escala de grise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"/>
  <sheetViews>
    <sheetView topLeftCell="A67" workbookViewId="0">
      <selection activeCell="G87" sqref="G87"/>
    </sheetView>
  </sheetViews>
  <sheetFormatPr baseColWidth="10" defaultColWidth="11" defaultRowHeight="14.4"/>
  <cols>
    <col min="1" max="2" width="15.88671875" style="12" customWidth="1"/>
    <col min="3" max="3" width="63.88671875" customWidth="1"/>
    <col min="4" max="4" width="8" customWidth="1"/>
    <col min="5" max="5" width="30.5546875" bestFit="1" customWidth="1"/>
    <col min="6" max="6" width="16.33203125" style="13" customWidth="1"/>
    <col min="7" max="7" width="11.5546875" style="14" customWidth="1"/>
    <col min="8" max="8" width="12.5546875" style="13" customWidth="1"/>
  </cols>
  <sheetData>
    <row r="1" spans="1:9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7" t="s">
        <v>7</v>
      </c>
      <c r="I1" t="s">
        <v>77</v>
      </c>
    </row>
    <row r="2" spans="1:9">
      <c r="A2" s="19">
        <v>46235</v>
      </c>
      <c r="B2" s="19" t="str">
        <f>TEXT(Tabla1[[#This Row],[Fecha ]],"MMMM")</f>
        <v>August</v>
      </c>
      <c r="C2" t="s">
        <v>32</v>
      </c>
      <c r="D2">
        <v>9</v>
      </c>
      <c r="E2" t="str">
        <f>IFERROR(VLOOKUP(D:D,'AUXILIAR DE CLASIFICACION'!A:B,2,FALSE),"")</f>
        <v>Gastos Extraordinarios</v>
      </c>
      <c r="F2" s="13">
        <v>37439.32</v>
      </c>
      <c r="G2" s="29">
        <f t="shared" ref="G2:G82" si="0">IFERROR(F2/H2,0)</f>
        <v>50.14440887722165</v>
      </c>
      <c r="H2" s="13">
        <v>746.63</v>
      </c>
    </row>
    <row r="3" spans="1:9">
      <c r="A3" s="19">
        <v>46235</v>
      </c>
      <c r="B3" s="19" t="str">
        <f>TEXT(Tabla1[[#This Row],[Fecha ]],"MMMM")</f>
        <v>August</v>
      </c>
      <c r="C3" t="s">
        <v>33</v>
      </c>
      <c r="D3">
        <v>9</v>
      </c>
      <c r="E3" t="str">
        <f>IFERROR(VLOOKUP(D:D,'AUXILIAR DE CLASIFICACION'!A:B,2,FALSE),"")</f>
        <v>Gastos Extraordinarios</v>
      </c>
      <c r="F3" s="13">
        <v>37439.32</v>
      </c>
      <c r="G3" s="29">
        <f t="shared" si="0"/>
        <v>50.14440887722165</v>
      </c>
      <c r="H3" s="13">
        <v>746.63</v>
      </c>
    </row>
    <row r="4" spans="1:9">
      <c r="A4" s="19">
        <v>46235</v>
      </c>
      <c r="B4" s="19" t="str">
        <f>TEXT(Tabla1[[#This Row],[Fecha ]],"MMMM")</f>
        <v>August</v>
      </c>
      <c r="C4" t="s">
        <v>34</v>
      </c>
      <c r="D4">
        <v>9</v>
      </c>
      <c r="E4" t="str">
        <f>IFERROR(VLOOKUP(D:D,'AUXILIAR DE CLASIFICACION'!A:B,2,FALSE),"")</f>
        <v>Gastos Extraordinarios</v>
      </c>
      <c r="F4" s="13">
        <v>130806</v>
      </c>
      <c r="G4" s="29">
        <f t="shared" si="0"/>
        <v>175.19521047908603</v>
      </c>
      <c r="H4" s="13">
        <v>746.63</v>
      </c>
    </row>
    <row r="5" spans="1:9">
      <c r="A5" s="19">
        <v>46235</v>
      </c>
      <c r="B5" s="19" t="str">
        <f>TEXT(Tabla1[[#This Row],[Fecha ]],"MMMM")</f>
        <v>August</v>
      </c>
      <c r="C5" t="s">
        <v>35</v>
      </c>
      <c r="D5">
        <v>9</v>
      </c>
      <c r="E5" t="str">
        <f>IFERROR(VLOOKUP(D:D,'AUXILIAR DE CLASIFICACION'!A:B,2,FALSE),"")</f>
        <v>Gastos Extraordinarios</v>
      </c>
      <c r="F5" s="13">
        <v>13500</v>
      </c>
      <c r="G5" s="29">
        <f t="shared" si="0"/>
        <v>18.081245061141395</v>
      </c>
      <c r="H5" s="13">
        <v>746.63</v>
      </c>
    </row>
    <row r="6" spans="1:9">
      <c r="A6" s="24">
        <v>46235</v>
      </c>
      <c r="B6" s="25" t="str">
        <f>TEXT(Tabla1[[#This Row],[Fecha ]],"MMMM")</f>
        <v>August</v>
      </c>
      <c r="C6" s="27" t="s">
        <v>103</v>
      </c>
      <c r="D6">
        <v>4</v>
      </c>
      <c r="E6" t="str">
        <f>IFERROR(VLOOKUP(D:D,'AUXILIAR DE CLASIFICACION'!A:B,2,FALSE),"")</f>
        <v xml:space="preserve">Servicios  </v>
      </c>
      <c r="F6" s="26">
        <v>21806.68</v>
      </c>
      <c r="G6" s="30">
        <v>24.84</v>
      </c>
      <c r="H6" s="26">
        <v>756.71</v>
      </c>
    </row>
    <row r="7" spans="1:9">
      <c r="A7" s="19">
        <v>46237</v>
      </c>
      <c r="B7" s="19" t="str">
        <f>TEXT(Tabla1[[#This Row],[Fecha ]],"MMMM")</f>
        <v>August</v>
      </c>
      <c r="C7" t="s">
        <v>36</v>
      </c>
      <c r="D7">
        <v>9</v>
      </c>
      <c r="E7" t="str">
        <f>IFERROR(VLOOKUP(D:D,'AUXILIAR DE CLASIFICACION'!A:B,2,FALSE),"")</f>
        <v>Gastos Extraordinarios</v>
      </c>
      <c r="F7" s="13">
        <v>172238</v>
      </c>
      <c r="G7" s="29">
        <f t="shared" si="0"/>
        <v>200</v>
      </c>
      <c r="H7" s="13">
        <v>861.19</v>
      </c>
    </row>
    <row r="8" spans="1:9">
      <c r="A8" s="19">
        <v>46237</v>
      </c>
      <c r="B8" s="19" t="str">
        <f>TEXT(Tabla1[[#This Row],[Fecha ]],"MMMM")</f>
        <v>August</v>
      </c>
      <c r="C8" t="s">
        <v>37</v>
      </c>
      <c r="D8">
        <v>9</v>
      </c>
      <c r="E8" t="str">
        <f>IFERROR(VLOOKUP(D:D,'AUXILIAR DE CLASIFICACION'!A:B,2,FALSE),"")</f>
        <v>Gastos Extraordinarios</v>
      </c>
      <c r="F8" s="13">
        <v>359414.4</v>
      </c>
      <c r="G8" s="29">
        <f t="shared" si="0"/>
        <v>480.00000000000006</v>
      </c>
      <c r="H8" s="13">
        <v>748.78</v>
      </c>
    </row>
    <row r="9" spans="1:9">
      <c r="A9" s="19">
        <v>46238</v>
      </c>
      <c r="B9" s="19" t="str">
        <f>TEXT(Tabla1[[#This Row],[Fecha ]],"MMMM")</f>
        <v>August</v>
      </c>
      <c r="C9" t="s">
        <v>38</v>
      </c>
      <c r="D9">
        <v>7</v>
      </c>
      <c r="E9" t="str">
        <f>IFERROR(VLOOKUP(D:D,'AUXILIAR DE CLASIFICACION'!A:B,2,FALSE),"")</f>
        <v>Nomina y Pasivos Laborales</v>
      </c>
      <c r="F9" s="13">
        <v>73400</v>
      </c>
      <c r="G9" s="29">
        <f t="shared" si="0"/>
        <v>97.594702761637564</v>
      </c>
      <c r="H9" s="13">
        <v>752.09</v>
      </c>
    </row>
    <row r="10" spans="1:9">
      <c r="A10" s="19">
        <v>46238</v>
      </c>
      <c r="B10" s="19" t="str">
        <f>TEXT(Tabla1[[#This Row],[Fecha ]],"MMMM")</f>
        <v>August</v>
      </c>
      <c r="C10" t="s">
        <v>39</v>
      </c>
      <c r="D10">
        <v>9</v>
      </c>
      <c r="E10" t="str">
        <f>IFERROR(VLOOKUP(D:D,'AUXILIAR DE CLASIFICACION'!A:B,2,FALSE),"")</f>
        <v>Gastos Extraordinarios</v>
      </c>
      <c r="F10" s="13">
        <v>23388</v>
      </c>
      <c r="G10" s="29">
        <f t="shared" si="0"/>
        <v>31.097342073422062</v>
      </c>
      <c r="H10" s="13">
        <v>752.09</v>
      </c>
    </row>
    <row r="11" spans="1:9">
      <c r="A11" s="19">
        <v>46238</v>
      </c>
      <c r="B11" s="19" t="str">
        <f>TEXT(Tabla1[[#This Row],[Fecha ]],"MMMM")</f>
        <v>August</v>
      </c>
      <c r="C11" t="s">
        <v>40</v>
      </c>
      <c r="D11">
        <v>9</v>
      </c>
      <c r="E11" t="str">
        <f>IFERROR(VLOOKUP(D:D,'AUXILIAR DE CLASIFICACION'!A:B,2,FALSE),"")</f>
        <v>Gastos Extraordinarios</v>
      </c>
      <c r="F11" s="13">
        <v>6975.55</v>
      </c>
      <c r="G11" s="29">
        <f t="shared" si="0"/>
        <v>9.2748873140182688</v>
      </c>
      <c r="H11" s="13">
        <v>752.09</v>
      </c>
    </row>
    <row r="12" spans="1:9">
      <c r="A12" s="19">
        <v>46238</v>
      </c>
      <c r="B12" s="19" t="str">
        <f>TEXT(Tabla1[[#This Row],[Fecha ]],"MMMM")</f>
        <v>August</v>
      </c>
      <c r="C12" t="s">
        <v>41</v>
      </c>
      <c r="D12">
        <v>12</v>
      </c>
      <c r="E12" t="str">
        <f>IFERROR(VLOOKUP(D:D,'AUXILIAR DE CLASIFICACION'!A:B,2,FALSE),"")</f>
        <v xml:space="preserve">Mantenimiento Flota </v>
      </c>
      <c r="F12" s="13">
        <v>15041.8</v>
      </c>
      <c r="G12" s="29">
        <f t="shared" si="0"/>
        <v>19.999999999999996</v>
      </c>
      <c r="H12" s="13">
        <v>752.09</v>
      </c>
    </row>
    <row r="13" spans="1:9">
      <c r="A13" s="19">
        <v>46238</v>
      </c>
      <c r="B13" s="19" t="str">
        <f>TEXT(Tabla1[[#This Row],[Fecha ]],"MMMM")</f>
        <v>August</v>
      </c>
      <c r="C13" t="s">
        <v>42</v>
      </c>
      <c r="D13">
        <v>9</v>
      </c>
      <c r="E13" t="str">
        <f>IFERROR(VLOOKUP(D:D,'AUXILIAR DE CLASIFICACION'!A:B,2,FALSE),"")</f>
        <v>Gastos Extraordinarios</v>
      </c>
      <c r="F13" s="13">
        <v>9589.06</v>
      </c>
      <c r="G13" s="29">
        <f t="shared" si="0"/>
        <v>12.749883657540984</v>
      </c>
      <c r="H13" s="13">
        <v>752.09</v>
      </c>
    </row>
    <row r="14" spans="1:9">
      <c r="A14" s="19">
        <v>46239</v>
      </c>
      <c r="B14" s="19" t="str">
        <f>TEXT(Tabla1[[#This Row],[Fecha ]],"MMMM")</f>
        <v>August</v>
      </c>
      <c r="C14" t="s">
        <v>43</v>
      </c>
      <c r="D14">
        <v>9</v>
      </c>
      <c r="E14" t="str">
        <f>IFERROR(VLOOKUP(D:D,'AUXILIAR DE CLASIFICACION'!A:B,2,FALSE),"")</f>
        <v>Gastos Extraordinarios</v>
      </c>
      <c r="F14" s="13">
        <v>3370</v>
      </c>
      <c r="G14" s="29">
        <f t="shared" si="0"/>
        <v>4.4808467071760028</v>
      </c>
      <c r="H14" s="13">
        <v>752.09</v>
      </c>
    </row>
    <row r="15" spans="1:9">
      <c r="A15" s="19">
        <v>46239</v>
      </c>
      <c r="B15" s="19" t="str">
        <f>TEXT(Tabla1[[#This Row],[Fecha ]],"MMMM")</f>
        <v>August</v>
      </c>
      <c r="C15" t="s">
        <v>44</v>
      </c>
      <c r="D15">
        <v>8</v>
      </c>
      <c r="E15" t="str">
        <f>IFERROR(VLOOKUP(D:D,'AUXILIAR DE CLASIFICACION'!A:B,2,FALSE),"")</f>
        <v>Comisiones por venta</v>
      </c>
      <c r="F15" s="13">
        <v>108977.13</v>
      </c>
      <c r="G15" s="29">
        <f t="shared" si="0"/>
        <v>144.30998728746226</v>
      </c>
      <c r="H15" s="13">
        <v>755.16</v>
      </c>
    </row>
    <row r="16" spans="1:9">
      <c r="A16" s="19">
        <v>46240</v>
      </c>
      <c r="B16" s="19" t="str">
        <f>TEXT(Tabla1[[#This Row],[Fecha ]],"MMMM")</f>
        <v>August</v>
      </c>
      <c r="C16" t="s">
        <v>45</v>
      </c>
      <c r="D16">
        <v>9</v>
      </c>
      <c r="E16" t="str">
        <f>IFERROR(VLOOKUP(D:D,'AUXILIAR DE CLASIFICACION'!A:B,2,FALSE),"")</f>
        <v>Gastos Extraordinarios</v>
      </c>
      <c r="F16" s="13">
        <v>34913.599999999999</v>
      </c>
      <c r="G16" s="29">
        <f t="shared" si="0"/>
        <v>40.000458279390024</v>
      </c>
      <c r="H16" s="13">
        <v>872.83</v>
      </c>
    </row>
    <row r="17" spans="1:9">
      <c r="A17" s="19">
        <v>46241</v>
      </c>
      <c r="B17" s="22" t="str">
        <f>TEXT(Tabla1[[#This Row],[Fecha ]],"MMMM")</f>
        <v>August</v>
      </c>
      <c r="C17" t="s">
        <v>83</v>
      </c>
      <c r="D17">
        <v>7</v>
      </c>
      <c r="E17" t="str">
        <f>IFERROR(VLOOKUP(D:D,'AUXILIAR DE CLASIFICACION'!A:B,2,FALSE),"")</f>
        <v>Nomina y Pasivos Laborales</v>
      </c>
      <c r="F17" s="23">
        <v>66585.89</v>
      </c>
      <c r="G17" s="32">
        <f>IFERROR(F17/H17,0)</f>
        <v>87.99393426808156</v>
      </c>
      <c r="H17" s="23">
        <v>756.71</v>
      </c>
    </row>
    <row r="18" spans="1:9">
      <c r="A18" s="19">
        <v>46241</v>
      </c>
      <c r="B18" s="19" t="str">
        <f>TEXT(Tabla1[[#This Row],[Fecha ]],"MMMM")</f>
        <v>August</v>
      </c>
      <c r="C18" t="s">
        <v>46</v>
      </c>
      <c r="D18">
        <v>9</v>
      </c>
      <c r="E18" t="str">
        <f>IFERROR(VLOOKUP(D:D,'AUXILIAR DE CLASIFICACION'!A:B,2,FALSE),"")</f>
        <v>Gastos Extraordinarios</v>
      </c>
      <c r="F18" s="13">
        <v>26156.7</v>
      </c>
      <c r="G18" s="29">
        <f t="shared" si="0"/>
        <v>30</v>
      </c>
      <c r="H18" s="13">
        <v>871.89</v>
      </c>
    </row>
    <row r="19" spans="1:9">
      <c r="A19" s="19">
        <v>46241</v>
      </c>
      <c r="B19" s="19" t="str">
        <f>TEXT(Tabla1[[#This Row],[Fecha ]],"MMMM")</f>
        <v>August</v>
      </c>
      <c r="C19" t="s">
        <v>47</v>
      </c>
      <c r="D19">
        <v>9</v>
      </c>
      <c r="E19" t="str">
        <f>IFERROR(VLOOKUP(D:D,'AUXILIAR DE CLASIFICACION'!A:B,2,FALSE),"")</f>
        <v>Gastos Extraordinarios</v>
      </c>
      <c r="F19" s="13">
        <v>14150</v>
      </c>
      <c r="G19" s="29">
        <f t="shared" si="0"/>
        <v>18.699369639624162</v>
      </c>
      <c r="H19" s="13">
        <v>756.71</v>
      </c>
    </row>
    <row r="20" spans="1:9">
      <c r="A20" s="19">
        <v>46241</v>
      </c>
      <c r="B20" s="19" t="str">
        <f>TEXT(Tabla1[[#This Row],[Fecha ]],"MMMM")</f>
        <v>August</v>
      </c>
      <c r="C20" t="s">
        <v>48</v>
      </c>
      <c r="D20">
        <v>9</v>
      </c>
      <c r="E20" t="str">
        <f>IFERROR(VLOOKUP(D:D,'AUXILIAR DE CLASIFICACION'!A:B,2,FALSE),"")</f>
        <v>Gastos Extraordinarios</v>
      </c>
      <c r="F20" s="13">
        <v>249714.3</v>
      </c>
      <c r="G20" s="29">
        <f t="shared" si="0"/>
        <v>329.99999999999994</v>
      </c>
      <c r="H20" s="13">
        <v>756.71</v>
      </c>
    </row>
    <row r="21" spans="1:9">
      <c r="A21" s="24">
        <v>46241</v>
      </c>
      <c r="B21" s="25" t="str">
        <f>TEXT(Tabla1[[#This Row],[Fecha ]],"MMMM")</f>
        <v>August</v>
      </c>
      <c r="C21" s="27" t="s">
        <v>102</v>
      </c>
      <c r="D21">
        <v>4</v>
      </c>
      <c r="E21" t="str">
        <f>IFERROR(VLOOKUP(D:D,'AUXILIAR DE CLASIFICACION'!A:B,2,FALSE),"")</f>
        <v xml:space="preserve">Servicios  </v>
      </c>
      <c r="F21" s="26">
        <v>42793.59</v>
      </c>
      <c r="G21" s="30">
        <v>56.03</v>
      </c>
      <c r="H21" s="26">
        <v>748.78639999999996</v>
      </c>
    </row>
    <row r="22" spans="1:9">
      <c r="A22" s="19">
        <v>46242</v>
      </c>
      <c r="B22" s="19" t="str">
        <f>TEXT(Tabla1[[#This Row],[Fecha ]],"MMMM")</f>
        <v>August</v>
      </c>
      <c r="C22" t="s">
        <v>49</v>
      </c>
      <c r="D22">
        <v>9</v>
      </c>
      <c r="E22" t="str">
        <f>IFERROR(VLOOKUP(D:D,'AUXILIAR DE CLASIFICACION'!A:B,2,FALSE),"")</f>
        <v>Gastos Extraordinarios</v>
      </c>
      <c r="F22" s="13">
        <v>39114.239999999998</v>
      </c>
      <c r="G22" s="29">
        <f t="shared" si="0"/>
        <v>51.689867981128828</v>
      </c>
      <c r="H22" s="13">
        <v>756.71</v>
      </c>
    </row>
    <row r="23" spans="1:9">
      <c r="A23" s="19">
        <v>46244</v>
      </c>
      <c r="B23" s="19" t="str">
        <f>TEXT(Tabla1[[#This Row],[Fecha ]],"MMMM")</f>
        <v>August</v>
      </c>
      <c r="C23" s="35" t="s">
        <v>41</v>
      </c>
      <c r="D23">
        <v>12</v>
      </c>
      <c r="E23" t="str">
        <f>IFERROR(VLOOKUP(D:D,'AUXILIAR DE CLASIFICACION'!A:B,2,FALSE),"")</f>
        <v xml:space="preserve">Mantenimiento Flota </v>
      </c>
      <c r="F23" s="13">
        <v>15150.8</v>
      </c>
      <c r="G23" s="29">
        <f t="shared" si="0"/>
        <v>20</v>
      </c>
      <c r="H23" s="13">
        <v>757.54</v>
      </c>
    </row>
    <row r="24" spans="1:9">
      <c r="A24" s="19">
        <v>46244</v>
      </c>
      <c r="B24" s="19" t="str">
        <f>TEXT(Tabla1[[#This Row],[Fecha ]],"MMMM")</f>
        <v>August</v>
      </c>
      <c r="C24" t="s">
        <v>50</v>
      </c>
      <c r="D24">
        <v>8</v>
      </c>
      <c r="E24" t="str">
        <f>IFERROR(VLOOKUP(D:D,'AUXILIAR DE CLASIFICACION'!A:B,2,FALSE),"")</f>
        <v>Comisiones por venta</v>
      </c>
      <c r="F24" s="13">
        <v>184036.76</v>
      </c>
      <c r="G24" s="29">
        <f t="shared" si="0"/>
        <v>242.93998996752649</v>
      </c>
      <c r="H24" s="13">
        <v>757.54</v>
      </c>
    </row>
    <row r="25" spans="1:9">
      <c r="A25" s="19">
        <v>46244</v>
      </c>
      <c r="B25" s="19" t="str">
        <f>TEXT(Tabla1[[#This Row],[Fecha ]],"MMMM")</f>
        <v>August</v>
      </c>
      <c r="C25" t="s">
        <v>51</v>
      </c>
      <c r="D25">
        <v>2</v>
      </c>
      <c r="E25" t="str">
        <f>IFERROR(VLOOKUP(D:D,'AUXILIAR DE CLASIFICACION'!A:B,2,FALSE),"")</f>
        <v>Impuestos Municipales</v>
      </c>
      <c r="F25" s="13">
        <v>2604.92</v>
      </c>
      <c r="G25" s="29">
        <f t="shared" si="0"/>
        <v>3.4386567045964571</v>
      </c>
      <c r="H25" s="13">
        <v>757.54</v>
      </c>
    </row>
    <row r="26" spans="1:9">
      <c r="A26" s="24">
        <v>46244</v>
      </c>
      <c r="B26" s="25" t="str">
        <f>TEXT(Tabla1[[#This Row],[Fecha ]],"MMMM")</f>
        <v>August</v>
      </c>
      <c r="C26" s="27" t="s">
        <v>104</v>
      </c>
      <c r="D26">
        <v>4</v>
      </c>
      <c r="E26" t="str">
        <f>IFERROR(VLOOKUP(D:D,'AUXILIAR DE CLASIFICACION'!A:B,2,FALSE),"")</f>
        <v xml:space="preserve">Servicios  </v>
      </c>
      <c r="F26" s="26">
        <v>15385.23</v>
      </c>
      <c r="G26" s="31">
        <v>19.586206896551726</v>
      </c>
      <c r="H26" s="26">
        <v>755.15520000000004</v>
      </c>
    </row>
    <row r="27" spans="1:9">
      <c r="A27" s="24">
        <v>46245</v>
      </c>
      <c r="B27" s="25" t="str">
        <f>TEXT(Tabla1[[#This Row],[Fecha ]],"MMMM")</f>
        <v>August</v>
      </c>
      <c r="C27" s="27" t="s">
        <v>105</v>
      </c>
      <c r="D27">
        <v>9</v>
      </c>
      <c r="E27" t="str">
        <f>IFERROR(VLOOKUP(D:D,'AUXILIAR DE CLASIFICACION'!A:B,2,FALSE),"")</f>
        <v>Gastos Extraordinarios</v>
      </c>
      <c r="F27" s="26">
        <v>79166.880000000005</v>
      </c>
      <c r="G27" s="30">
        <v>100</v>
      </c>
      <c r="H27" s="26">
        <v>761.22</v>
      </c>
      <c r="I27" s="14"/>
    </row>
    <row r="28" spans="1:9">
      <c r="A28" s="19">
        <v>46246</v>
      </c>
      <c r="B28" s="19" t="str">
        <f>TEXT(Tabla1[[#This Row],[Fecha ]],"MMMM")</f>
        <v>August</v>
      </c>
      <c r="C28" t="s">
        <v>52</v>
      </c>
      <c r="D28">
        <v>4</v>
      </c>
      <c r="E28" t="str">
        <f>IFERROR(VLOOKUP(D:D,'AUXILIAR DE CLASIFICACION'!A:B,2,FALSE),"")</f>
        <v xml:space="preserve">Servicios  </v>
      </c>
      <c r="F28" s="13">
        <v>38150.449999999997</v>
      </c>
      <c r="G28" s="29">
        <f t="shared" si="0"/>
        <v>49.912278406489172</v>
      </c>
      <c r="H28" s="13">
        <v>764.35</v>
      </c>
    </row>
    <row r="29" spans="1:9">
      <c r="A29" s="19">
        <v>46246</v>
      </c>
      <c r="B29" s="19" t="str">
        <f>TEXT(Tabla1[[#This Row],[Fecha ]],"MMMM")</f>
        <v>August</v>
      </c>
      <c r="C29" t="s">
        <v>41</v>
      </c>
      <c r="D29">
        <v>12</v>
      </c>
      <c r="E29" t="str">
        <f>IFERROR(VLOOKUP(D:D,'AUXILIAR DE CLASIFICACION'!A:B,2,FALSE),"")</f>
        <v xml:space="preserve">Mantenimiento Flota </v>
      </c>
      <c r="F29" s="13">
        <v>15287</v>
      </c>
      <c r="G29" s="29">
        <f t="shared" si="0"/>
        <v>20</v>
      </c>
      <c r="H29" s="13">
        <v>764.35</v>
      </c>
    </row>
    <row r="30" spans="1:9">
      <c r="A30" s="19">
        <v>46247</v>
      </c>
      <c r="B30" s="19" t="str">
        <f>TEXT(Tabla1[[#This Row],[Fecha ]],"MMMM")</f>
        <v>August</v>
      </c>
      <c r="C30" t="s">
        <v>53</v>
      </c>
      <c r="D30">
        <v>4</v>
      </c>
      <c r="E30" t="str">
        <f>IFERROR(VLOOKUP(D:D,'AUXILIAR DE CLASIFICACION'!A:B,2,FALSE),"")</f>
        <v xml:space="preserve">Servicios  </v>
      </c>
      <c r="F30" s="13">
        <v>19592.84</v>
      </c>
      <c r="G30" s="33">
        <f t="shared" si="0"/>
        <v>25.549435359778837</v>
      </c>
      <c r="H30" s="13">
        <v>766.86</v>
      </c>
    </row>
    <row r="31" spans="1:9">
      <c r="A31" s="19">
        <v>46247</v>
      </c>
      <c r="B31" s="19" t="str">
        <f>TEXT(Tabla1[[#This Row],[Fecha ]],"MMMM")</f>
        <v>August</v>
      </c>
      <c r="C31" t="s">
        <v>54</v>
      </c>
      <c r="D31">
        <v>9</v>
      </c>
      <c r="E31" t="str">
        <f>IFERROR(VLOOKUP(D:D,'AUXILIAR DE CLASIFICACION'!A:B,2,FALSE),"")</f>
        <v>Gastos Extraordinarios</v>
      </c>
      <c r="F31" s="13">
        <v>84354.6</v>
      </c>
      <c r="G31" s="29">
        <f t="shared" si="0"/>
        <v>110</v>
      </c>
      <c r="H31" s="13">
        <v>766.86</v>
      </c>
    </row>
    <row r="32" spans="1:9">
      <c r="A32" s="19">
        <v>46247</v>
      </c>
      <c r="B32" s="19" t="str">
        <f>TEXT(Tabla1[[#This Row],[Fecha ]],"MMMM")</f>
        <v>August</v>
      </c>
      <c r="C32" t="s">
        <v>55</v>
      </c>
      <c r="D32">
        <v>9</v>
      </c>
      <c r="E32" t="str">
        <f>IFERROR(VLOOKUP(D:D,'AUXILIAR DE CLASIFICACION'!A:B,2,FALSE),"")</f>
        <v>Gastos Extraordinarios</v>
      </c>
      <c r="F32" s="13">
        <v>115029</v>
      </c>
      <c r="G32" s="29">
        <f t="shared" si="0"/>
        <v>150</v>
      </c>
      <c r="H32" s="13">
        <v>766.86</v>
      </c>
    </row>
    <row r="33" spans="1:9">
      <c r="A33" s="19">
        <v>46248</v>
      </c>
      <c r="B33" s="19" t="str">
        <f>TEXT(Tabla1[[#This Row],[Fecha ]],"MMMM")</f>
        <v>August</v>
      </c>
      <c r="C33" t="s">
        <v>56</v>
      </c>
      <c r="D33">
        <v>7</v>
      </c>
      <c r="E33" t="str">
        <f>IFERROR(VLOOKUP(D:D,'AUXILIAR DE CLASIFICACION'!A:B,2,FALSE),"")</f>
        <v>Nomina y Pasivos Laborales</v>
      </c>
      <c r="F33" s="13">
        <v>1127120</v>
      </c>
      <c r="G33" s="29">
        <f t="shared" si="0"/>
        <v>1458.9605850753996</v>
      </c>
      <c r="H33" s="13">
        <v>772.55</v>
      </c>
    </row>
    <row r="34" spans="1:9">
      <c r="A34" s="19">
        <v>46248</v>
      </c>
      <c r="B34" s="19" t="str">
        <f>TEXT(Tabla1[[#This Row],[Fecha ]],"MMMM")</f>
        <v>August</v>
      </c>
      <c r="C34" t="s">
        <v>57</v>
      </c>
      <c r="D34">
        <v>12</v>
      </c>
      <c r="E34" t="str">
        <f>IFERROR(VLOOKUP(D:D,'AUXILIAR DE CLASIFICACION'!A:B,2,FALSE),"")</f>
        <v xml:space="preserve">Mantenimiento Flota </v>
      </c>
      <c r="F34" s="13">
        <v>1000</v>
      </c>
      <c r="G34" s="29">
        <f t="shared" si="0"/>
        <v>1.2968991142179049</v>
      </c>
      <c r="H34" s="13">
        <v>771.07</v>
      </c>
    </row>
    <row r="35" spans="1:9">
      <c r="A35" s="19">
        <v>46248</v>
      </c>
      <c r="B35" s="19" t="str">
        <f>TEXT(Tabla1[[#This Row],[Fecha ]],"MMMM")</f>
        <v>August</v>
      </c>
      <c r="C35" t="s">
        <v>58</v>
      </c>
      <c r="D35">
        <v>9</v>
      </c>
      <c r="E35" t="str">
        <f>IFERROR(VLOOKUP(D:D,'AUXILIAR DE CLASIFICACION'!A:B,2,FALSE),"")</f>
        <v>Gastos Extraordinarios</v>
      </c>
      <c r="F35" s="13">
        <v>11566.05</v>
      </c>
      <c r="G35" s="29">
        <f t="shared" si="0"/>
        <v>14.999999999999998</v>
      </c>
      <c r="H35" s="13">
        <v>771.07</v>
      </c>
    </row>
    <row r="36" spans="1:9">
      <c r="A36" s="19">
        <v>46248</v>
      </c>
      <c r="B36" s="19" t="str">
        <f>TEXT(Tabla1[[#This Row],[Fecha ]],"MMMM")</f>
        <v>August</v>
      </c>
      <c r="C36" t="s">
        <v>59</v>
      </c>
      <c r="D36">
        <v>9</v>
      </c>
      <c r="E36" t="str">
        <f>IFERROR(VLOOKUP(D:D,'AUXILIAR DE CLASIFICACION'!A:B,2,FALSE),"")</f>
        <v>Gastos Extraordinarios</v>
      </c>
      <c r="F36" s="13">
        <v>17724.25</v>
      </c>
      <c r="G36" s="29">
        <f t="shared" si="0"/>
        <v>22.986564125176702</v>
      </c>
      <c r="H36" s="13">
        <v>771.07</v>
      </c>
    </row>
    <row r="37" spans="1:9">
      <c r="A37" s="19">
        <v>46248</v>
      </c>
      <c r="B37" s="19" t="str">
        <f>TEXT(Tabla1[[#This Row],[Fecha ]],"MMMM")</f>
        <v>August</v>
      </c>
      <c r="C37" t="s">
        <v>60</v>
      </c>
      <c r="D37">
        <v>9</v>
      </c>
      <c r="E37" t="str">
        <f>IFERROR(VLOOKUP(D:D,'AUXILIAR DE CLASIFICACION'!A:B,2,FALSE),"")</f>
        <v>Gastos Extraordinarios</v>
      </c>
      <c r="F37" s="13">
        <v>53367</v>
      </c>
      <c r="G37" s="29">
        <f t="shared" si="0"/>
        <v>60</v>
      </c>
      <c r="H37" s="13">
        <v>889.45</v>
      </c>
    </row>
    <row r="38" spans="1:9">
      <c r="A38" s="19">
        <v>46248</v>
      </c>
      <c r="B38" s="19" t="str">
        <f>TEXT(Tabla1[[#This Row],[Fecha ]],"MMMM")</f>
        <v>August</v>
      </c>
      <c r="C38" t="s">
        <v>61</v>
      </c>
      <c r="D38">
        <v>9</v>
      </c>
      <c r="E38" t="str">
        <f>IFERROR(VLOOKUP(D:D,'AUXILIAR DE CLASIFICACION'!A:B,2,FALSE),"")</f>
        <v>Gastos Extraordinarios</v>
      </c>
      <c r="F38" s="13">
        <v>239031.7</v>
      </c>
      <c r="G38" s="29">
        <f t="shared" si="0"/>
        <v>310.02412420072375</v>
      </c>
      <c r="H38" s="13">
        <v>771.01</v>
      </c>
    </row>
    <row r="39" spans="1:9">
      <c r="A39" s="19">
        <v>46251</v>
      </c>
      <c r="B39" s="19" t="str">
        <f>TEXT(Tabla1[[#This Row],[Fecha ]],"MMMM")</f>
        <v>August</v>
      </c>
      <c r="C39" t="s">
        <v>41</v>
      </c>
      <c r="D39">
        <v>12</v>
      </c>
      <c r="E39" t="str">
        <f>IFERROR(VLOOKUP(D:D,'AUXILIAR DE CLASIFICACION'!A:B,2,FALSE),"")</f>
        <v xml:space="preserve">Mantenimiento Flota </v>
      </c>
      <c r="F39" s="13">
        <v>15450.8</v>
      </c>
      <c r="G39" s="29">
        <f t="shared" si="0"/>
        <v>19.9997411170798</v>
      </c>
      <c r="H39" s="13">
        <v>772.55</v>
      </c>
    </row>
    <row r="40" spans="1:9">
      <c r="A40" s="19">
        <v>46251</v>
      </c>
      <c r="B40" s="19" t="str">
        <f>TEXT(Tabla1[[#This Row],[Fecha ]],"MMMM")</f>
        <v>August</v>
      </c>
      <c r="C40" t="s">
        <v>62</v>
      </c>
      <c r="D40">
        <v>9</v>
      </c>
      <c r="E40" t="str">
        <f>IFERROR(VLOOKUP(D:D,'AUXILIAR DE CLASIFICACION'!A:B,2,FALSE),"")</f>
        <v>Gastos Extraordinarios</v>
      </c>
      <c r="F40" s="13">
        <v>13967.6</v>
      </c>
      <c r="G40" s="29">
        <f t="shared" si="0"/>
        <v>18.079865380881497</v>
      </c>
      <c r="H40" s="13">
        <v>772.55</v>
      </c>
    </row>
    <row r="41" spans="1:9">
      <c r="A41" s="19">
        <v>46252</v>
      </c>
      <c r="B41" s="19" t="str">
        <f>TEXT(Tabla1[[#This Row],[Fecha ]],"MMMM")</f>
        <v>August</v>
      </c>
      <c r="C41" t="s">
        <v>63</v>
      </c>
      <c r="D41">
        <v>4</v>
      </c>
      <c r="E41" t="str">
        <f>IFERROR(VLOOKUP(D:D,'AUXILIAR DE CLASIFICACION'!A:B,2,FALSE),"")</f>
        <v xml:space="preserve">Servicios  </v>
      </c>
      <c r="F41" s="13">
        <v>48303.54</v>
      </c>
      <c r="G41" s="29">
        <f t="shared" si="0"/>
        <v>62.46335880823991</v>
      </c>
      <c r="H41" s="13">
        <v>773.31</v>
      </c>
    </row>
    <row r="42" spans="1:9">
      <c r="A42" s="19">
        <v>46253</v>
      </c>
      <c r="B42" s="19" t="str">
        <f>TEXT(Tabla1[[#This Row],[Fecha ]],"MMMM")</f>
        <v>August</v>
      </c>
      <c r="C42" t="s">
        <v>64</v>
      </c>
      <c r="D42">
        <v>4</v>
      </c>
      <c r="E42" t="str">
        <f>IFERROR(VLOOKUP(D:D,'AUXILIAR DE CLASIFICACION'!A:B,2,FALSE),"")</f>
        <v xml:space="preserve">Servicios  </v>
      </c>
      <c r="F42" s="13">
        <v>134673</v>
      </c>
      <c r="G42" s="29">
        <f t="shared" si="0"/>
        <v>150</v>
      </c>
      <c r="H42" s="13">
        <v>897.82</v>
      </c>
    </row>
    <row r="43" spans="1:9">
      <c r="A43" s="19">
        <v>46253</v>
      </c>
      <c r="B43" s="19" t="str">
        <f>TEXT(Tabla1[[#This Row],[Fecha ]],"MMMM")</f>
        <v>August</v>
      </c>
      <c r="C43" t="s">
        <v>65</v>
      </c>
      <c r="D43">
        <v>4</v>
      </c>
      <c r="E43" t="str">
        <f>IFERROR(VLOOKUP(D:D,'AUXILIAR DE CLASIFICACION'!A:B,2,FALSE),"")</f>
        <v xml:space="preserve">Servicios  </v>
      </c>
      <c r="F43" s="13">
        <v>77534</v>
      </c>
      <c r="G43" s="29">
        <f t="shared" si="0"/>
        <v>100</v>
      </c>
      <c r="H43" s="13">
        <v>775.34</v>
      </c>
    </row>
    <row r="44" spans="1:9">
      <c r="A44" s="19">
        <v>46253</v>
      </c>
      <c r="B44" s="19" t="str">
        <f>TEXT(Tabla1[[#This Row],[Fecha ]],"MMMM")</f>
        <v>August</v>
      </c>
      <c r="C44" t="s">
        <v>66</v>
      </c>
      <c r="D44">
        <v>8</v>
      </c>
      <c r="E44" t="str">
        <f>IFERROR(VLOOKUP(D:D,'AUXILIAR DE CLASIFICACION'!A:B,2,FALSE),"")</f>
        <v>Comisiones por venta</v>
      </c>
      <c r="F44" s="13">
        <v>99987.839999999997</v>
      </c>
      <c r="G44" s="29">
        <f t="shared" si="0"/>
        <v>128.95999174555678</v>
      </c>
      <c r="H44" s="13">
        <v>775.34</v>
      </c>
    </row>
    <row r="45" spans="1:9">
      <c r="A45" s="19">
        <v>46254</v>
      </c>
      <c r="B45" s="19" t="str">
        <f>TEXT(Tabla1[[#This Row],[Fecha ]],"MMMM")</f>
        <v>August</v>
      </c>
      <c r="C45" t="s">
        <v>41</v>
      </c>
      <c r="D45">
        <v>12</v>
      </c>
      <c r="E45" t="str">
        <f>IFERROR(VLOOKUP(D:D,'AUXILIAR DE CLASIFICACION'!A:B,2,FALSE),"")</f>
        <v xml:space="preserve">Mantenimiento Flota </v>
      </c>
      <c r="F45" s="13">
        <v>15548</v>
      </c>
      <c r="G45" s="29">
        <f t="shared" si="0"/>
        <v>19.999485477605415</v>
      </c>
      <c r="H45" s="13">
        <v>777.42</v>
      </c>
    </row>
    <row r="46" spans="1:9">
      <c r="A46" s="19">
        <v>46254</v>
      </c>
      <c r="B46" s="19" t="str">
        <f>TEXT(Tabla1[[#This Row],[Fecha ]],"MMMM")</f>
        <v>August</v>
      </c>
      <c r="C46" t="s">
        <v>67</v>
      </c>
      <c r="D46">
        <v>4</v>
      </c>
      <c r="E46" t="str">
        <f>IFERROR(VLOOKUP(D:D,'AUXILIAR DE CLASIFICACION'!A:B,2,FALSE),"")</f>
        <v xml:space="preserve">Servicios  </v>
      </c>
      <c r="F46" s="13">
        <f>249846.97+1617.3</f>
        <v>251464.27</v>
      </c>
      <c r="G46" s="29">
        <f t="shared" si="0"/>
        <v>323.45999588382085</v>
      </c>
      <c r="H46" s="13">
        <v>777.42</v>
      </c>
    </row>
    <row r="47" spans="1:9">
      <c r="A47" s="24">
        <v>46245</v>
      </c>
      <c r="B47" s="25" t="str">
        <f>TEXT(Tabla1[[#This Row],[Fecha ]],"MMMM")</f>
        <v>August</v>
      </c>
      <c r="C47" s="27" t="s">
        <v>100</v>
      </c>
      <c r="D47">
        <v>4</v>
      </c>
      <c r="E47" t="str">
        <f>IFERROR(VLOOKUP(D:D,'AUXILIAR DE CLASIFICACION'!A:B,2,FALSE),"")</f>
        <v xml:space="preserve">Servicios  </v>
      </c>
      <c r="F47" s="26">
        <v>58993.57</v>
      </c>
      <c r="G47" s="30">
        <v>74.517241379310349</v>
      </c>
      <c r="H47" s="26">
        <v>761.22</v>
      </c>
      <c r="I47" s="14"/>
    </row>
    <row r="48" spans="1:9">
      <c r="A48" s="24">
        <v>46245</v>
      </c>
      <c r="B48" s="25" t="str">
        <f>TEXT(Tabla1[[#This Row],[Fecha ]],"MMMM")</f>
        <v>August</v>
      </c>
      <c r="C48" s="27" t="s">
        <v>101</v>
      </c>
      <c r="D48">
        <v>4</v>
      </c>
      <c r="E48" t="str">
        <f>IFERROR(VLOOKUP(D:D,'AUXILIAR DE CLASIFICACION'!A:B,2,FALSE),"")</f>
        <v xml:space="preserve">Servicios  </v>
      </c>
      <c r="F48" s="26">
        <v>21657.77</v>
      </c>
      <c r="G48" s="30">
        <v>27.353448275862071</v>
      </c>
      <c r="H48" s="26">
        <v>761.22</v>
      </c>
      <c r="I48" s="14"/>
    </row>
    <row r="49" spans="1:8">
      <c r="A49" s="24">
        <v>46246</v>
      </c>
      <c r="B49" s="25" t="str">
        <f>TEXT(Tabla1[[#This Row],[Fecha ]],"MMMM")</f>
        <v>August</v>
      </c>
      <c r="C49" s="27" t="s">
        <v>95</v>
      </c>
      <c r="D49">
        <v>1</v>
      </c>
      <c r="E49" t="str">
        <f>IFERROR(VLOOKUP(D:D,'AUXILIAR DE CLASIFICACION'!A:B,2,FALSE),"")</f>
        <v>Impuestos Seniat</v>
      </c>
      <c r="F49" s="26">
        <v>46766</v>
      </c>
      <c r="G49" s="30">
        <f>IFERROR(F49/H49,0)</f>
        <v>61.18401255969124</v>
      </c>
      <c r="H49" s="26">
        <v>764.35</v>
      </c>
    </row>
    <row r="50" spans="1:8">
      <c r="A50" s="24">
        <v>46246</v>
      </c>
      <c r="B50" s="25" t="str">
        <f>TEXT(Tabla1[[#This Row],[Fecha ]],"MMMM")</f>
        <v>August</v>
      </c>
      <c r="C50" s="27" t="s">
        <v>96</v>
      </c>
      <c r="D50">
        <v>1</v>
      </c>
      <c r="E50" t="str">
        <f>IFERROR(VLOOKUP(D:D,'AUXILIAR DE CLASIFICACION'!A:B,2,FALSE),"")</f>
        <v>Impuestos Seniat</v>
      </c>
      <c r="F50" s="26">
        <v>721339</v>
      </c>
      <c r="G50" s="30">
        <f>IFERROR(F50/H50,0)</f>
        <v>943.72865833714923</v>
      </c>
      <c r="H50" s="26">
        <v>764.35</v>
      </c>
    </row>
    <row r="51" spans="1:8">
      <c r="A51" s="24">
        <v>46246</v>
      </c>
      <c r="B51" s="25" t="str">
        <f>TEXT(Tabla1[[#This Row],[Fecha ]],"MMMM")</f>
        <v>August</v>
      </c>
      <c r="C51" s="27" t="s">
        <v>97</v>
      </c>
      <c r="D51">
        <v>1</v>
      </c>
      <c r="E51" t="str">
        <f>IFERROR(VLOOKUP(D:D,'AUXILIAR DE CLASIFICACION'!A:B,2,FALSE),"")</f>
        <v>Impuestos Seniat</v>
      </c>
      <c r="F51" s="26">
        <v>5518</v>
      </c>
      <c r="G51" s="30">
        <f>IFERROR(F51/H51,0)</f>
        <v>7.2192058611892458</v>
      </c>
      <c r="H51" s="26">
        <v>764.35</v>
      </c>
    </row>
    <row r="52" spans="1:8">
      <c r="A52" s="19">
        <v>46254</v>
      </c>
      <c r="B52" s="19" t="str">
        <f>TEXT(Tabla1[[#This Row],[Fecha ]],"MMMM")</f>
        <v>August</v>
      </c>
      <c r="C52" t="s">
        <v>68</v>
      </c>
      <c r="D52">
        <v>1</v>
      </c>
      <c r="E52" t="str">
        <f>IFERROR(VLOOKUP(D:D,'AUXILIAR DE CLASIFICACION'!A:B,2,FALSE),"")</f>
        <v>Impuestos Seniat</v>
      </c>
      <c r="F52" s="13">
        <v>145250.17000000001</v>
      </c>
      <c r="G52" s="29">
        <f t="shared" si="0"/>
        <v>186.83616320650358</v>
      </c>
      <c r="H52" s="13">
        <v>777.42</v>
      </c>
    </row>
    <row r="53" spans="1:8">
      <c r="A53" s="19">
        <v>46254</v>
      </c>
      <c r="B53" s="19" t="str">
        <f>TEXT(Tabla1[[#This Row],[Fecha ]],"MMMM")</f>
        <v>August</v>
      </c>
      <c r="C53" t="s">
        <v>69</v>
      </c>
      <c r="D53">
        <v>6</v>
      </c>
      <c r="E53" t="str">
        <f>IFERROR(VLOOKUP(D:D,'AUXILIAR DE CLASIFICACION'!A:B,2,FALSE),"")</f>
        <v>Alquileres</v>
      </c>
      <c r="F53" s="13">
        <v>2040367.5</v>
      </c>
      <c r="G53" s="29">
        <f t="shared" si="0"/>
        <v>2250</v>
      </c>
      <c r="H53" s="13">
        <v>906.83</v>
      </c>
    </row>
    <row r="54" spans="1:8">
      <c r="A54" s="19">
        <v>46254</v>
      </c>
      <c r="B54" s="19" t="str">
        <f>TEXT(Tabla1[[#This Row],[Fecha ]],"MMMM")</f>
        <v>August</v>
      </c>
      <c r="C54" t="s">
        <v>70</v>
      </c>
      <c r="D54">
        <v>1</v>
      </c>
      <c r="E54" t="str">
        <f>IFERROR(VLOOKUP(D:D,'AUXILIAR DE CLASIFICACION'!A:B,2,FALSE),"")</f>
        <v>Impuestos Seniat</v>
      </c>
      <c r="F54" s="28">
        <v>44789.02</v>
      </c>
      <c r="G54" s="29">
        <f t="shared" si="0"/>
        <v>57.61238455403771</v>
      </c>
      <c r="H54" s="13">
        <v>777.42</v>
      </c>
    </row>
    <row r="55" spans="1:8">
      <c r="A55" s="19">
        <v>46254</v>
      </c>
      <c r="B55" s="19" t="str">
        <f>TEXT(Tabla1[[#This Row],[Fecha ]],"MMMM")</f>
        <v>August</v>
      </c>
      <c r="C55" t="s">
        <v>71</v>
      </c>
      <c r="D55">
        <v>1</v>
      </c>
      <c r="E55" t="str">
        <f>IFERROR(VLOOKUP(D:D,'AUXILIAR DE CLASIFICACION'!A:B,2,FALSE),"")</f>
        <v>Impuestos Seniat</v>
      </c>
      <c r="F55" s="13">
        <v>261758.07999999999</v>
      </c>
      <c r="G55" s="29">
        <f t="shared" si="0"/>
        <v>336.70098531038565</v>
      </c>
      <c r="H55" s="13">
        <v>777.42</v>
      </c>
    </row>
    <row r="56" spans="1:8">
      <c r="A56" s="19">
        <v>46254</v>
      </c>
      <c r="B56" s="19" t="str">
        <f>TEXT(Tabla1[[#This Row],[Fecha ]],"MMMM")</f>
        <v>August</v>
      </c>
      <c r="C56" t="s">
        <v>72</v>
      </c>
      <c r="D56">
        <v>4</v>
      </c>
      <c r="E56" t="str">
        <f>IFERROR(VLOOKUP(D:D,'AUXILIAR DE CLASIFICACION'!A:B,2,FALSE),"")</f>
        <v xml:space="preserve">Servicios  </v>
      </c>
      <c r="F56" s="13">
        <v>208570.9</v>
      </c>
      <c r="G56" s="29">
        <f t="shared" si="0"/>
        <v>229.99999999999997</v>
      </c>
      <c r="H56" s="13">
        <v>906.83</v>
      </c>
    </row>
    <row r="57" spans="1:8">
      <c r="A57" s="19">
        <v>46255</v>
      </c>
      <c r="B57" s="19" t="str">
        <f>TEXT(Tabla1[[#This Row],[Fecha ]],"MMMM")</f>
        <v>August</v>
      </c>
      <c r="C57" t="s">
        <v>73</v>
      </c>
      <c r="D57">
        <v>9</v>
      </c>
      <c r="E57" t="str">
        <f>IFERROR(VLOOKUP(D:D,'AUXILIAR DE CLASIFICACION'!A:B,2,FALSE),"")</f>
        <v>Gastos Extraordinarios</v>
      </c>
      <c r="F57" s="13">
        <v>50117.1</v>
      </c>
      <c r="G57" s="29">
        <f t="shared" si="0"/>
        <v>55</v>
      </c>
      <c r="H57" s="13">
        <v>911.22</v>
      </c>
    </row>
    <row r="58" spans="1:8">
      <c r="A58" s="19">
        <v>46256</v>
      </c>
      <c r="B58" s="19" t="str">
        <f>TEXT(Tabla1[[#This Row],[Fecha ]],"MMMM")</f>
        <v>August</v>
      </c>
      <c r="C58" t="s">
        <v>74</v>
      </c>
      <c r="D58">
        <v>9</v>
      </c>
      <c r="E58" t="str">
        <f>IFERROR(VLOOKUP(D:D,'AUXILIAR DE CLASIFICACION'!A:B,2,FALSE),"")</f>
        <v>Gastos Extraordinarios</v>
      </c>
      <c r="F58" s="13">
        <v>350977.5</v>
      </c>
      <c r="G58" s="29">
        <f t="shared" si="0"/>
        <v>450</v>
      </c>
      <c r="H58" s="13">
        <v>779.95</v>
      </c>
    </row>
    <row r="59" spans="1:8">
      <c r="A59" s="19">
        <v>46258</v>
      </c>
      <c r="B59" s="19" t="str">
        <f>TEXT(Tabla1[[#This Row],[Fecha ]],"MMMM")</f>
        <v>August</v>
      </c>
      <c r="C59" t="s">
        <v>41</v>
      </c>
      <c r="D59">
        <v>12</v>
      </c>
      <c r="E59" t="str">
        <f>IFERROR(VLOOKUP(D:D,'AUXILIAR DE CLASIFICACION'!A:B,2,FALSE),"")</f>
        <v xml:space="preserve">Mantenimiento Flota </v>
      </c>
      <c r="F59" s="13">
        <v>15693.2</v>
      </c>
      <c r="G59" s="29">
        <f t="shared" si="0"/>
        <v>20</v>
      </c>
      <c r="H59" s="13">
        <v>784.66</v>
      </c>
    </row>
    <row r="60" spans="1:8">
      <c r="A60" s="24">
        <v>46258</v>
      </c>
      <c r="B60" s="25" t="str">
        <f>TEXT(Tabla1[[#This Row],[Fecha ]],"MMMM")</f>
        <v>August</v>
      </c>
      <c r="C60" s="27" t="s">
        <v>106</v>
      </c>
      <c r="D60">
        <v>2</v>
      </c>
      <c r="E60" t="str">
        <f>IFERROR(VLOOKUP(D:D,'AUXILIAR DE CLASIFICACION'!A:B,2,FALSE),"")</f>
        <v>Impuestos Municipales</v>
      </c>
      <c r="F60" s="26">
        <v>34275.74</v>
      </c>
      <c r="G60" s="30">
        <v>43.508620689655174</v>
      </c>
      <c r="H60" s="26">
        <v>757.54</v>
      </c>
    </row>
    <row r="61" spans="1:8">
      <c r="A61" s="19">
        <v>46259</v>
      </c>
      <c r="B61" s="19" t="str">
        <f>TEXT(Tabla1[[#This Row],[Fecha ]],"MMMM")</f>
        <v>August</v>
      </c>
      <c r="C61" t="s">
        <v>75</v>
      </c>
      <c r="D61">
        <v>2</v>
      </c>
      <c r="E61" t="str">
        <f>IFERROR(VLOOKUP(D:D,'AUXILIAR DE CLASIFICACION'!A:B,2,FALSE),"")</f>
        <v>Impuestos Municipales</v>
      </c>
      <c r="F61" s="13">
        <v>234528.76</v>
      </c>
      <c r="G61" s="29">
        <f t="shared" si="0"/>
        <v>298.73611270332583</v>
      </c>
      <c r="H61" s="13">
        <v>785.07</v>
      </c>
    </row>
    <row r="62" spans="1:8">
      <c r="A62" s="19">
        <v>46259</v>
      </c>
      <c r="B62" s="19" t="str">
        <f>TEXT(Tabla1[[#This Row],[Fecha ]],"MMMM")</f>
        <v>August</v>
      </c>
      <c r="C62" s="27" t="s">
        <v>98</v>
      </c>
      <c r="D62">
        <v>8</v>
      </c>
      <c r="E62" t="str">
        <f>IFERROR(VLOOKUP(D:D,'AUXILIAR DE CLASIFICACION'!A:B,2,FALSE),"")</f>
        <v>Comisiones por venta</v>
      </c>
      <c r="F62" s="13">
        <v>107265.78</v>
      </c>
      <c r="G62" s="29">
        <f t="shared" si="0"/>
        <v>136.63212197638427</v>
      </c>
      <c r="H62" s="13">
        <v>785.07</v>
      </c>
    </row>
    <row r="63" spans="1:8">
      <c r="A63" s="19">
        <v>46259</v>
      </c>
      <c r="B63" s="22" t="str">
        <f>TEXT(Tabla1[[#This Row],[Fecha ]],"MMMM")</f>
        <v>August</v>
      </c>
      <c r="C63" t="s">
        <v>84</v>
      </c>
      <c r="D63">
        <v>9</v>
      </c>
      <c r="E63" t="str">
        <f>IFERROR(VLOOKUP(D:D,'AUXILIAR DE CLASIFICACION'!A:B,2,FALSE),"")</f>
        <v>Gastos Extraordinarios</v>
      </c>
      <c r="F63" s="23">
        <v>22291.82</v>
      </c>
      <c r="G63" s="32">
        <f t="shared" ref="G63:G68" si="1">IFERROR(F63/H63,0)</f>
        <v>28.394690919281082</v>
      </c>
      <c r="H63" s="23">
        <v>785.07</v>
      </c>
    </row>
    <row r="64" spans="1:8">
      <c r="A64" s="19">
        <v>46260</v>
      </c>
      <c r="B64" s="22" t="str">
        <f>TEXT(Tabla1[[#This Row],[Fecha ]],"MMMM")</f>
        <v>August</v>
      </c>
      <c r="C64" t="s">
        <v>85</v>
      </c>
      <c r="D64">
        <v>3</v>
      </c>
      <c r="E64" t="str">
        <f>IFERROR(VLOOKUP(D:D,'AUXILIAR DE CLASIFICACION'!A:B,2,FALSE),"")</f>
        <v>Parafiscales</v>
      </c>
      <c r="F64" s="23">
        <v>17264.64</v>
      </c>
      <c r="G64" s="32">
        <f t="shared" si="1"/>
        <v>22.002701807152143</v>
      </c>
      <c r="H64" s="23">
        <v>784.66</v>
      </c>
    </row>
    <row r="65" spans="1:8">
      <c r="A65" s="19">
        <v>46260</v>
      </c>
      <c r="B65" s="22" t="str">
        <f>TEXT(Tabla1[[#This Row],[Fecha ]],"MMMM")</f>
        <v>August</v>
      </c>
      <c r="C65" t="s">
        <v>86</v>
      </c>
      <c r="D65">
        <v>12</v>
      </c>
      <c r="E65" t="str">
        <f>IFERROR(VLOOKUP(D:D,'AUXILIAR DE CLASIFICACION'!A:B,2,FALSE),"")</f>
        <v xml:space="preserve">Mantenimiento Flota </v>
      </c>
      <c r="F65" s="23">
        <v>27575</v>
      </c>
      <c r="G65" s="32">
        <f t="shared" si="1"/>
        <v>35.014983746444535</v>
      </c>
      <c r="H65" s="23">
        <v>787.52</v>
      </c>
    </row>
    <row r="66" spans="1:8">
      <c r="A66" s="19">
        <v>46261</v>
      </c>
      <c r="B66" s="22" t="str">
        <f>TEXT(Tabla1[[#This Row],[Fecha ]],"MMMM")</f>
        <v>August</v>
      </c>
      <c r="C66" t="s">
        <v>88</v>
      </c>
      <c r="D66">
        <v>9</v>
      </c>
      <c r="E66" t="str">
        <f>IFERROR(VLOOKUP(D:D,'AUXILIAR DE CLASIFICACION'!A:B,2,FALSE),"")</f>
        <v>Gastos Extraordinarios</v>
      </c>
      <c r="F66" s="23">
        <v>7355.23</v>
      </c>
      <c r="G66" s="32">
        <f t="shared" si="1"/>
        <v>9.2948870242127075</v>
      </c>
      <c r="H66" s="13">
        <v>791.32</v>
      </c>
    </row>
    <row r="67" spans="1:8">
      <c r="A67" s="19">
        <v>46261</v>
      </c>
      <c r="B67" s="22" t="str">
        <f>TEXT(Tabla1[[#This Row],[Fecha ]],"MMMM")</f>
        <v>August</v>
      </c>
      <c r="C67" t="s">
        <v>87</v>
      </c>
      <c r="D67">
        <v>9</v>
      </c>
      <c r="E67" t="str">
        <f>IFERROR(VLOOKUP(D:D,'AUXILIAR DE CLASIFICACION'!A:B,2,FALSE),"")</f>
        <v>Gastos Extraordinarios</v>
      </c>
      <c r="F67" s="23">
        <v>12242.06</v>
      </c>
      <c r="G67" s="32">
        <f t="shared" si="1"/>
        <v>15.470429156346356</v>
      </c>
      <c r="H67" s="13">
        <v>791.32</v>
      </c>
    </row>
    <row r="68" spans="1:8">
      <c r="A68" s="19">
        <v>46261</v>
      </c>
      <c r="B68" s="22" t="str">
        <f>TEXT(Tabla1[[#This Row],[Fecha ]],"MMMM")</f>
        <v>August</v>
      </c>
      <c r="C68" t="s">
        <v>89</v>
      </c>
      <c r="D68">
        <v>12</v>
      </c>
      <c r="E68" t="str">
        <f>IFERROR(VLOOKUP(D:D,'AUXILIAR DE CLASIFICACION'!A:B,2,FALSE),"")</f>
        <v xml:space="preserve">Mantenimiento Flota </v>
      </c>
      <c r="F68" s="23">
        <v>121863.28</v>
      </c>
      <c r="G68" s="32">
        <f t="shared" si="1"/>
        <v>154</v>
      </c>
      <c r="H68" s="23">
        <v>791.32</v>
      </c>
    </row>
    <row r="69" spans="1:8">
      <c r="A69" s="19">
        <v>46262</v>
      </c>
      <c r="B69" s="19" t="str">
        <f>TEXT(Tabla1[[#This Row],[Fecha ]],"MMMM")</f>
        <v>August</v>
      </c>
      <c r="C69" t="s">
        <v>78</v>
      </c>
      <c r="D69">
        <v>4</v>
      </c>
      <c r="E69" t="str">
        <f>IFERROR(VLOOKUP(D:D,'AUXILIAR DE CLASIFICACION'!A:B,2,FALSE),"")</f>
        <v xml:space="preserve">Servicios  </v>
      </c>
      <c r="F69" s="13">
        <v>114741.4</v>
      </c>
      <c r="G69" s="29">
        <f t="shared" si="0"/>
        <v>144.99999999999997</v>
      </c>
      <c r="H69" s="13">
        <v>791.32</v>
      </c>
    </row>
    <row r="70" spans="1:8">
      <c r="A70" s="19">
        <v>46262</v>
      </c>
      <c r="B70" s="19" t="str">
        <f>TEXT(Tabla1[[#This Row],[Fecha ]],"MMMM")</f>
        <v>August</v>
      </c>
      <c r="C70" t="s">
        <v>79</v>
      </c>
      <c r="D70">
        <v>7</v>
      </c>
      <c r="E70" t="str">
        <f>IFERROR(VLOOKUP(D:D,'AUXILIAR DE CLASIFICACION'!A:B,2,FALSE),"")</f>
        <v>Nomina y Pasivos Laborales</v>
      </c>
      <c r="F70" s="13">
        <v>1429410</v>
      </c>
      <c r="G70" s="29">
        <f t="shared" si="0"/>
        <v>1805.5629239455834</v>
      </c>
      <c r="H70" s="13">
        <v>791.67</v>
      </c>
    </row>
    <row r="71" spans="1:8">
      <c r="A71" s="19">
        <v>46262</v>
      </c>
      <c r="B71" s="19" t="str">
        <f>TEXT(Tabla1[[#This Row],[Fecha ]],"MMMM")</f>
        <v>August</v>
      </c>
      <c r="C71" t="s">
        <v>76</v>
      </c>
      <c r="D71">
        <v>3</v>
      </c>
      <c r="E71" t="str">
        <f>IFERROR(VLOOKUP(D:D,'AUXILIAR DE CLASIFICACION'!A:B,2,FALSE),"")</f>
        <v>Parafiscales</v>
      </c>
      <c r="F71" s="13">
        <v>35.4</v>
      </c>
      <c r="G71" s="29">
        <f t="shared" si="0"/>
        <v>4.4951239333604225E-2</v>
      </c>
      <c r="H71" s="13">
        <v>787.52</v>
      </c>
    </row>
    <row r="72" spans="1:8">
      <c r="A72" s="19">
        <v>46262</v>
      </c>
      <c r="B72" s="19" t="str">
        <f>TEXT(Tabla1[[#This Row],[Fecha ]],"MMMM")</f>
        <v>August</v>
      </c>
      <c r="C72" t="s">
        <v>80</v>
      </c>
      <c r="D72">
        <v>9</v>
      </c>
      <c r="E72" t="str">
        <f>IFERROR(VLOOKUP(D:D,'AUXILIAR DE CLASIFICACION'!A:B,2,FALSE),"")</f>
        <v>Gastos Extraordinarios</v>
      </c>
      <c r="F72" s="13">
        <v>26734.52</v>
      </c>
      <c r="G72" s="29">
        <f t="shared" si="0"/>
        <v>29</v>
      </c>
      <c r="H72" s="13">
        <v>921.88</v>
      </c>
    </row>
    <row r="73" spans="1:8">
      <c r="A73" s="19">
        <v>46262</v>
      </c>
      <c r="B73" s="19" t="str">
        <f>TEXT(Tabla1[[#This Row],[Fecha ]],"MMMM")</f>
        <v>August</v>
      </c>
      <c r="C73" t="s">
        <v>81</v>
      </c>
      <c r="D73">
        <v>3</v>
      </c>
      <c r="E73" t="str">
        <f>IFERROR(VLOOKUP(D:D,'AUXILIAR DE CLASIFICACION'!A:B,2,FALSE),"")</f>
        <v>Parafiscales</v>
      </c>
      <c r="F73" s="13">
        <v>17264.75</v>
      </c>
      <c r="G73" s="29">
        <f t="shared" si="0"/>
        <v>22.002841995259093</v>
      </c>
      <c r="H73" s="13">
        <v>784.66</v>
      </c>
    </row>
    <row r="74" spans="1:8">
      <c r="A74" s="19">
        <v>46262</v>
      </c>
      <c r="B74" s="19" t="str">
        <f>TEXT(Tabla1[[#This Row],[Fecha ]],"MMMM")</f>
        <v>August</v>
      </c>
      <c r="C74" t="s">
        <v>82</v>
      </c>
      <c r="D74">
        <v>9</v>
      </c>
      <c r="E74" t="str">
        <f>IFERROR(VLOOKUP(D:D,'AUXILIAR DE CLASIFICACION'!A:B,2,FALSE),"")</f>
        <v>Gastos Extraordinarios</v>
      </c>
      <c r="F74" s="13">
        <v>277081</v>
      </c>
      <c r="G74" s="29">
        <f t="shared" si="0"/>
        <v>349.99557896598333</v>
      </c>
      <c r="H74" s="13">
        <v>791.67</v>
      </c>
    </row>
    <row r="75" spans="1:8">
      <c r="A75" s="19">
        <v>46265</v>
      </c>
      <c r="B75" s="19" t="str">
        <f>TEXT(Tabla1[[#This Row],[Fecha ]],"MMMM")</f>
        <v>August</v>
      </c>
      <c r="C75" t="s">
        <v>90</v>
      </c>
      <c r="D75">
        <v>9</v>
      </c>
      <c r="E75" t="str">
        <f>IFERROR(VLOOKUP(D:D,'AUXILIAR DE CLASIFICACION'!A:B,2,FALSE),"")</f>
        <v>Gastos Extraordinarios</v>
      </c>
      <c r="F75" s="13">
        <v>5812.94</v>
      </c>
      <c r="G75" s="29">
        <f t="shared" si="0"/>
        <v>7.3119661882539395</v>
      </c>
      <c r="H75" s="13">
        <v>794.99</v>
      </c>
    </row>
    <row r="76" spans="1:8">
      <c r="A76" s="19">
        <v>46265</v>
      </c>
      <c r="B76" s="19" t="str">
        <f>TEXT(Tabla1[[#This Row],[Fecha ]],"MMMM")</f>
        <v>August</v>
      </c>
      <c r="C76" t="s">
        <v>91</v>
      </c>
      <c r="D76">
        <v>9</v>
      </c>
      <c r="E76" t="str">
        <f>IFERROR(VLOOKUP(D:D,'AUXILIAR DE CLASIFICACION'!A:B,2,FALSE),"")</f>
        <v>Gastos Extraordinarios</v>
      </c>
      <c r="F76" s="13">
        <v>11378.12</v>
      </c>
      <c r="G76" s="29">
        <f t="shared" si="0"/>
        <v>14.312280657618336</v>
      </c>
      <c r="H76" s="13">
        <v>794.99</v>
      </c>
    </row>
    <row r="77" spans="1:8">
      <c r="A77" s="19">
        <v>46265</v>
      </c>
      <c r="B77" s="19" t="str">
        <f>TEXT(Tabla1[[#This Row],[Fecha ]],"MMMM")</f>
        <v>August</v>
      </c>
      <c r="C77" s="27" t="s">
        <v>99</v>
      </c>
      <c r="D77">
        <v>8</v>
      </c>
      <c r="E77" t="str">
        <f>IFERROR(VLOOKUP(D:D,'AUXILIAR DE CLASIFICACION'!A:B,2,FALSE),"")</f>
        <v>Comisiones por venta</v>
      </c>
      <c r="F77" s="13">
        <v>108651.28</v>
      </c>
      <c r="G77" s="29">
        <f t="shared" si="0"/>
        <v>136.66999584900438</v>
      </c>
      <c r="H77" s="13">
        <v>794.99</v>
      </c>
    </row>
    <row r="78" spans="1:8">
      <c r="A78" s="19">
        <v>46265</v>
      </c>
      <c r="B78" s="19" t="str">
        <f>TEXT(Tabla1[[#This Row],[Fecha ]],"MMMM")</f>
        <v>August</v>
      </c>
      <c r="C78" t="s">
        <v>92</v>
      </c>
      <c r="D78">
        <v>9</v>
      </c>
      <c r="E78" t="str">
        <f>IFERROR(VLOOKUP(D:D,'AUXILIAR DE CLASIFICACION'!A:B,2,FALSE),"")</f>
        <v>Gastos Extraordinarios</v>
      </c>
      <c r="F78" s="13">
        <v>3569.06</v>
      </c>
      <c r="G78" s="29">
        <f t="shared" si="0"/>
        <v>4.4894401187436319</v>
      </c>
      <c r="H78" s="13">
        <v>794.99</v>
      </c>
    </row>
    <row r="79" spans="1:8">
      <c r="A79" s="19">
        <v>46265</v>
      </c>
      <c r="B79" s="19" t="str">
        <f>TEXT(Tabla1[[#This Row],[Fecha ]],"MMMM")</f>
        <v>August</v>
      </c>
      <c r="C79" t="s">
        <v>93</v>
      </c>
      <c r="D79">
        <v>4</v>
      </c>
      <c r="E79" t="str">
        <f>IFERROR(VLOOKUP(D:D,'AUXILIAR DE CLASIFICACION'!A:B,2,FALSE),"")</f>
        <v xml:space="preserve">Servicios  </v>
      </c>
      <c r="F79" s="13">
        <v>322941.5</v>
      </c>
      <c r="G79" s="29">
        <f t="shared" si="0"/>
        <v>350</v>
      </c>
      <c r="H79" s="13">
        <v>922.69</v>
      </c>
    </row>
    <row r="80" spans="1:8">
      <c r="A80" s="24">
        <v>46265</v>
      </c>
      <c r="B80" s="25" t="str">
        <f>TEXT(Tabla1[[#This Row],[Fecha ]],"MMMM")</f>
        <v>August</v>
      </c>
      <c r="C80" s="27" t="s">
        <v>107</v>
      </c>
      <c r="D80">
        <v>9</v>
      </c>
      <c r="E80" t="str">
        <f>IFERROR(VLOOKUP(D:D,'AUXILIAR DE CLASIFICACION'!A:B,2,FALSE),"")</f>
        <v>Gastos Extraordinarios</v>
      </c>
      <c r="F80" s="26">
        <v>116301</v>
      </c>
      <c r="G80" s="30">
        <f>IFERROR(F80/H80,0)</f>
        <v>150</v>
      </c>
      <c r="H80" s="26">
        <v>775.34</v>
      </c>
    </row>
    <row r="81" spans="1:8">
      <c r="A81" s="19">
        <v>46265</v>
      </c>
      <c r="B81" s="19" t="str">
        <f>TEXT(Tabla1[[#This Row],[Fecha ]],"MMMM")</f>
        <v>August</v>
      </c>
      <c r="C81" t="s">
        <v>94</v>
      </c>
      <c r="D81">
        <v>11</v>
      </c>
      <c r="E81" t="str">
        <f>IFERROR(VLOOKUP(D:D,'AUXILIAR DE CLASIFICACION'!A:B,2,FALSE),"")</f>
        <v xml:space="preserve">Retiros de Accionista </v>
      </c>
      <c r="F81" s="13">
        <v>1589980</v>
      </c>
      <c r="G81" s="29">
        <f t="shared" si="0"/>
        <v>2000</v>
      </c>
      <c r="H81" s="13">
        <v>794.99</v>
      </c>
    </row>
    <row r="82" spans="1:8">
      <c r="A82" s="19">
        <v>46265</v>
      </c>
      <c r="B82" s="19" t="str">
        <f>TEXT(Tabla1[[#This Row],[Fecha ]],"MMMM")</f>
        <v>August</v>
      </c>
      <c r="C82" t="s">
        <v>108</v>
      </c>
      <c r="D82">
        <v>9</v>
      </c>
      <c r="E82" t="str">
        <f>IFERROR(VLOOKUP(D:D,'AUXILIAR DE CLASIFICACION'!A:B,2,FALSE),"")</f>
        <v>Gastos Extraordinarios</v>
      </c>
      <c r="F82" s="13">
        <v>100735.32</v>
      </c>
      <c r="G82" s="29">
        <f t="shared" si="0"/>
        <v>126.7126882099146</v>
      </c>
      <c r="H82" s="13">
        <v>794.99</v>
      </c>
    </row>
    <row r="83" spans="1:8">
      <c r="A83" s="19">
        <v>46265</v>
      </c>
      <c r="B83" s="19" t="str">
        <f>TEXT(Tabla1[[#This Row],[Fecha ]],"MMMM")</f>
        <v>August</v>
      </c>
      <c r="C83" t="s">
        <v>109</v>
      </c>
      <c r="D83">
        <v>9</v>
      </c>
      <c r="E83" t="str">
        <f>IFERROR(VLOOKUP(D:D,'AUXILIAR DE CLASIFICACION'!A:B,2,FALSE),"")</f>
        <v>Gastos Extraordinarios</v>
      </c>
      <c r="F83" s="13">
        <v>30016.400000000001</v>
      </c>
      <c r="G83" s="29">
        <f t="shared" ref="G83" si="2">IFERROR(F83/H83,0)</f>
        <v>37.756952917646764</v>
      </c>
      <c r="H83" s="13">
        <v>794.99</v>
      </c>
    </row>
    <row r="84" spans="1:8">
      <c r="A84" s="19">
        <v>46241</v>
      </c>
      <c r="B84" s="22" t="str">
        <f>TEXT(Tabla1[[#This Row],[Fecha ]],"MMMM")</f>
        <v>August</v>
      </c>
      <c r="C84" s="35" t="s">
        <v>110</v>
      </c>
      <c r="D84">
        <v>9</v>
      </c>
      <c r="E84" t="str">
        <f>IFERROR(VLOOKUP(D:D,'AUXILIAR DE CLASIFICACION'!A:B,2,FALSE),"")</f>
        <v>Gastos Extraordinarios</v>
      </c>
      <c r="F84" s="23"/>
      <c r="G84" s="34">
        <v>93.224137931034491</v>
      </c>
      <c r="H84" s="23"/>
    </row>
    <row r="85" spans="1:8">
      <c r="A85" s="19">
        <v>46246</v>
      </c>
      <c r="B85" s="22" t="str">
        <f>TEXT(Tabla1[[#This Row],[Fecha ]],"MMMM")</f>
        <v>August</v>
      </c>
      <c r="C85" s="35" t="s">
        <v>110</v>
      </c>
      <c r="D85">
        <v>9</v>
      </c>
      <c r="E85" t="str">
        <f>IFERROR(VLOOKUP(D:D,'AUXILIAR DE CLASIFICACION'!A:B,2,FALSE),"")</f>
        <v>Gastos Extraordinarios</v>
      </c>
      <c r="F85" s="23"/>
      <c r="G85" s="34">
        <v>23.27586206896552</v>
      </c>
      <c r="H85" s="23"/>
    </row>
    <row r="86" spans="1:8">
      <c r="A86" s="19">
        <v>46259</v>
      </c>
      <c r="B86" s="22" t="str">
        <f>TEXT(Tabla1[[#This Row],[Fecha ]],"MMMM")</f>
        <v>August</v>
      </c>
      <c r="C86" s="35" t="s">
        <v>110</v>
      </c>
      <c r="D86">
        <v>9</v>
      </c>
      <c r="E86" t="str">
        <f>IFERROR(VLOOKUP(D:D,'AUXILIAR DE CLASIFICACION'!A:B,2,FALSE),"")</f>
        <v>Gastos Extraordinarios</v>
      </c>
      <c r="F86" s="23"/>
      <c r="G86" s="34">
        <v>57.663793103448278</v>
      </c>
      <c r="H86" s="23"/>
    </row>
    <row r="87" spans="1:8">
      <c r="A87" s="19"/>
      <c r="B87" s="19"/>
      <c r="F87" s="20"/>
      <c r="G87" s="11">
        <f>SUBTOTAL(109,Tabla1[Monto $])</f>
        <v>16161.213792225517</v>
      </c>
      <c r="H87" s="20"/>
    </row>
    <row r="88" spans="1:8">
      <c r="A88" s="19"/>
      <c r="B88" s="19"/>
    </row>
    <row r="89" spans="1:8">
      <c r="A89" s="19"/>
      <c r="B89" s="19"/>
    </row>
    <row r="90" spans="1:8">
      <c r="A90" s="19"/>
      <c r="B90" s="19"/>
    </row>
    <row r="91" spans="1:8">
      <c r="A91" s="19"/>
      <c r="B91" s="19"/>
    </row>
    <row r="92" spans="1:8">
      <c r="A92" s="19"/>
      <c r="B92" s="19"/>
    </row>
    <row r="93" spans="1:8">
      <c r="A93" s="19"/>
      <c r="B93" s="19"/>
    </row>
    <row r="94" spans="1:8">
      <c r="A94" s="19"/>
      <c r="B94" s="19"/>
    </row>
    <row r="95" spans="1:8">
      <c r="A95" s="19"/>
      <c r="B95" s="19"/>
    </row>
    <row r="96" spans="1:8">
      <c r="A96" s="19"/>
      <c r="B96" s="19"/>
    </row>
    <row r="97" spans="1:2">
      <c r="A97" s="19"/>
      <c r="B97" s="19"/>
    </row>
    <row r="98" spans="1:2">
      <c r="A98" s="19"/>
      <c r="B98" s="19"/>
    </row>
    <row r="99" spans="1:2">
      <c r="A99" s="19"/>
      <c r="B99" s="19"/>
    </row>
    <row r="100" spans="1:2">
      <c r="A100" s="19"/>
      <c r="B100" s="19"/>
    </row>
    <row r="101" spans="1:2">
      <c r="A101" s="19"/>
      <c r="B101" s="19"/>
    </row>
    <row r="102" spans="1:2">
      <c r="A102" s="19"/>
      <c r="B102" s="19"/>
    </row>
    <row r="103" spans="1:2">
      <c r="A103" s="19"/>
      <c r="B103" s="19"/>
    </row>
    <row r="104" spans="1:2">
      <c r="A104" s="19"/>
      <c r="B104" s="19"/>
    </row>
    <row r="105" spans="1:2">
      <c r="A105" s="19"/>
      <c r="B105" s="19"/>
    </row>
    <row r="106" spans="1:2">
      <c r="A106" s="19"/>
      <c r="B106" s="19"/>
    </row>
    <row r="107" spans="1:2">
      <c r="A107" s="19"/>
      <c r="B107" s="19"/>
    </row>
    <row r="108" spans="1:2">
      <c r="A108" s="19"/>
      <c r="B108" s="19"/>
    </row>
    <row r="109" spans="1:2">
      <c r="A109" s="19"/>
      <c r="B109" s="19"/>
    </row>
    <row r="110" spans="1:2">
      <c r="A110" s="19"/>
      <c r="B110" s="19"/>
    </row>
    <row r="111" spans="1:2">
      <c r="A111" s="19"/>
      <c r="B111" s="19"/>
    </row>
    <row r="112" spans="1:2">
      <c r="A112" s="19"/>
      <c r="B112" s="19"/>
    </row>
    <row r="113" spans="1:2">
      <c r="A113" s="19"/>
      <c r="B113" s="19"/>
    </row>
    <row r="114" spans="1:2">
      <c r="A114" s="19"/>
      <c r="B114" s="19"/>
    </row>
    <row r="115" spans="1:2">
      <c r="A115" s="19"/>
      <c r="B115" s="19"/>
    </row>
    <row r="116" spans="1:2">
      <c r="A116" s="19"/>
      <c r="B116" s="19"/>
    </row>
    <row r="117" spans="1:2">
      <c r="A117" s="19"/>
      <c r="B117" s="19"/>
    </row>
    <row r="118" spans="1:2">
      <c r="A118" s="19"/>
      <c r="B118" s="19"/>
    </row>
    <row r="119" spans="1:2">
      <c r="A119" s="19"/>
      <c r="B119" s="19"/>
    </row>
    <row r="120" spans="1:2">
      <c r="A120" s="19"/>
      <c r="B120" s="19"/>
    </row>
    <row r="121" spans="1:2">
      <c r="A121" s="19"/>
      <c r="B121" s="19"/>
    </row>
    <row r="122" spans="1:2">
      <c r="A122" s="19"/>
      <c r="B122" s="19"/>
    </row>
    <row r="123" spans="1:2">
      <c r="A123" s="19"/>
      <c r="B123" s="19"/>
    </row>
    <row r="124" spans="1:2">
      <c r="A124" s="19"/>
      <c r="B124" s="19"/>
    </row>
    <row r="125" spans="1:2">
      <c r="A125" s="19"/>
      <c r="B125" s="19"/>
    </row>
    <row r="126" spans="1:2">
      <c r="A126" s="19"/>
      <c r="B126" s="19"/>
    </row>
    <row r="127" spans="1:2">
      <c r="A127" s="19"/>
      <c r="B127" s="19"/>
    </row>
    <row r="128" spans="1:2">
      <c r="A128" s="19"/>
      <c r="B128" s="19"/>
    </row>
    <row r="129" spans="1:2">
      <c r="A129" s="19"/>
      <c r="B129" s="19"/>
    </row>
    <row r="130" spans="1:2">
      <c r="A130" s="19"/>
      <c r="B130" s="19"/>
    </row>
    <row r="131" spans="1:2">
      <c r="A131" s="19"/>
      <c r="B131" s="19"/>
    </row>
    <row r="132" spans="1:2">
      <c r="A132" s="19"/>
      <c r="B132" s="19"/>
    </row>
    <row r="133" spans="1:2">
      <c r="A133" s="19"/>
      <c r="B133" s="19"/>
    </row>
    <row r="134" spans="1:2">
      <c r="A134" s="19"/>
      <c r="B134" s="19"/>
    </row>
    <row r="135" spans="1:2">
      <c r="A135" s="19"/>
      <c r="B135" s="19"/>
    </row>
    <row r="136" spans="1:2">
      <c r="A136" s="19"/>
      <c r="B136" s="19"/>
    </row>
    <row r="137" spans="1:2">
      <c r="A137" s="19"/>
      <c r="B137" s="19"/>
    </row>
    <row r="138" spans="1:2">
      <c r="A138" s="19"/>
      <c r="B138" s="19"/>
    </row>
    <row r="139" spans="1:2">
      <c r="A139" s="19"/>
      <c r="B139" s="19"/>
    </row>
    <row r="140" spans="1:2">
      <c r="A140" s="19"/>
      <c r="B140" s="19"/>
    </row>
    <row r="141" spans="1:2">
      <c r="A141" s="19"/>
      <c r="B141" s="19"/>
    </row>
    <row r="142" spans="1:2">
      <c r="A142" s="19"/>
      <c r="B142" s="19"/>
    </row>
    <row r="143" spans="1:2">
      <c r="A143" s="19"/>
      <c r="B143" s="19"/>
    </row>
    <row r="144" spans="1:2">
      <c r="A144" s="19"/>
      <c r="B144" s="19"/>
    </row>
    <row r="145" spans="1:2">
      <c r="A145" s="19"/>
      <c r="B145" s="19"/>
    </row>
    <row r="146" spans="1:2">
      <c r="A146" s="19"/>
      <c r="B146" s="19"/>
    </row>
    <row r="147" spans="1:2">
      <c r="A147" s="19"/>
      <c r="B147" s="19"/>
    </row>
    <row r="148" spans="1:2">
      <c r="A148" s="19"/>
      <c r="B148" s="19"/>
    </row>
    <row r="149" spans="1:2">
      <c r="A149" s="19"/>
      <c r="B149" s="19"/>
    </row>
    <row r="150" spans="1:2">
      <c r="A150" s="19"/>
      <c r="B150" s="19"/>
    </row>
    <row r="151" spans="1:2">
      <c r="A151" s="19"/>
      <c r="B151" s="19"/>
    </row>
    <row r="152" spans="1:2">
      <c r="A152" s="19"/>
      <c r="B152" s="19"/>
    </row>
    <row r="153" spans="1:2">
      <c r="A153" s="19"/>
      <c r="B153" s="19"/>
    </row>
    <row r="154" spans="1:2">
      <c r="A154" s="19"/>
      <c r="B154" s="19"/>
    </row>
    <row r="155" spans="1:2">
      <c r="A155" s="19"/>
      <c r="B155" s="19"/>
    </row>
    <row r="156" spans="1:2">
      <c r="A156" s="19"/>
      <c r="B156" s="19"/>
    </row>
    <row r="157" spans="1:2">
      <c r="A157" s="19"/>
      <c r="B157" s="19"/>
    </row>
    <row r="158" spans="1:2">
      <c r="A158" s="19"/>
      <c r="B158" s="19"/>
    </row>
    <row r="159" spans="1:2">
      <c r="A159" s="19"/>
      <c r="B159" s="19"/>
    </row>
    <row r="160" spans="1:2">
      <c r="A160" s="19"/>
      <c r="B160" s="19"/>
    </row>
    <row r="161" spans="1:2">
      <c r="A161" s="19"/>
      <c r="B161" s="19"/>
    </row>
    <row r="162" spans="1:2">
      <c r="A162" s="19"/>
      <c r="B162" s="19"/>
    </row>
    <row r="163" spans="1:2">
      <c r="A163" s="19"/>
      <c r="B163" s="19"/>
    </row>
    <row r="164" spans="1:2">
      <c r="A164" s="19"/>
      <c r="B164" s="19"/>
    </row>
    <row r="165" spans="1:2">
      <c r="A165" s="19"/>
      <c r="B165" s="19"/>
    </row>
    <row r="166" spans="1:2">
      <c r="A166" s="19"/>
      <c r="B166" s="19"/>
    </row>
    <row r="167" spans="1:2">
      <c r="A167" s="19"/>
      <c r="B167" s="19"/>
    </row>
    <row r="168" spans="1:2">
      <c r="A168" s="19"/>
      <c r="B168" s="19"/>
    </row>
    <row r="169" spans="1:2">
      <c r="A169" s="19"/>
      <c r="B169" s="19"/>
    </row>
    <row r="170" spans="1:2">
      <c r="A170" s="19"/>
      <c r="B170" s="19"/>
    </row>
    <row r="171" spans="1:2">
      <c r="A171" s="19"/>
      <c r="B171" s="19"/>
    </row>
    <row r="172" spans="1:2">
      <c r="A172" s="19"/>
      <c r="B172" s="19"/>
    </row>
    <row r="173" spans="1:2">
      <c r="A173" s="19"/>
      <c r="B173" s="19"/>
    </row>
    <row r="174" spans="1:2">
      <c r="A174" s="19"/>
      <c r="B174" s="19"/>
    </row>
    <row r="175" spans="1:2">
      <c r="A175" s="19"/>
      <c r="B175" s="19"/>
    </row>
    <row r="176" spans="1:2">
      <c r="A176" s="19"/>
      <c r="B176" s="19"/>
    </row>
    <row r="177" spans="1:2">
      <c r="A177" s="19"/>
      <c r="B177" s="19"/>
    </row>
    <row r="178" spans="1:2">
      <c r="A178" s="19"/>
      <c r="B178" s="19"/>
    </row>
    <row r="179" spans="1:2">
      <c r="A179" s="19"/>
      <c r="B179" s="19"/>
    </row>
    <row r="180" spans="1:2">
      <c r="A180" s="19"/>
      <c r="B180" s="19"/>
    </row>
    <row r="181" spans="1:2">
      <c r="A181" s="19"/>
      <c r="B181" s="19"/>
    </row>
    <row r="182" spans="1:2">
      <c r="A182" s="19"/>
      <c r="B182" s="19"/>
    </row>
    <row r="183" spans="1:2">
      <c r="A183" s="19"/>
      <c r="B183" s="19"/>
    </row>
    <row r="184" spans="1:2">
      <c r="A184" s="19"/>
      <c r="B184" s="19"/>
    </row>
    <row r="185" spans="1:2">
      <c r="A185" s="19"/>
      <c r="B185" s="19"/>
    </row>
    <row r="186" spans="1:2">
      <c r="A186" s="19"/>
      <c r="B186" s="19"/>
    </row>
    <row r="187" spans="1:2">
      <c r="A187" s="19"/>
      <c r="B187" s="19"/>
    </row>
    <row r="188" spans="1:2">
      <c r="A188" s="19"/>
      <c r="B188" s="19"/>
    </row>
    <row r="189" spans="1:2">
      <c r="A189" s="19"/>
      <c r="B189" s="19"/>
    </row>
    <row r="190" spans="1:2">
      <c r="A190" s="19"/>
      <c r="B190" s="19"/>
    </row>
    <row r="191" spans="1:2">
      <c r="A191" s="19"/>
      <c r="B191" s="19"/>
    </row>
    <row r="192" spans="1:2">
      <c r="A192" s="19"/>
      <c r="B192" s="19"/>
    </row>
    <row r="193" spans="1:2">
      <c r="A193" s="19"/>
      <c r="B193" s="19"/>
    </row>
    <row r="194" spans="1:2">
      <c r="A194" s="19"/>
      <c r="B194" s="19"/>
    </row>
    <row r="195" spans="1:2">
      <c r="A195" s="19"/>
      <c r="B195" s="19"/>
    </row>
    <row r="196" spans="1:2">
      <c r="A196" s="19"/>
      <c r="B196" s="19"/>
    </row>
    <row r="197" spans="1:2">
      <c r="A197" s="19"/>
      <c r="B197" s="19"/>
    </row>
    <row r="198" spans="1:2">
      <c r="A198" s="19"/>
      <c r="B198" s="19"/>
    </row>
    <row r="199" spans="1:2">
      <c r="A199" s="19"/>
      <c r="B199" s="19"/>
    </row>
    <row r="200" spans="1:2">
      <c r="A200" s="19"/>
      <c r="B200" s="19"/>
    </row>
    <row r="201" spans="1:2">
      <c r="A201" s="19"/>
      <c r="B201" s="19"/>
    </row>
    <row r="202" spans="1:2">
      <c r="A202" s="19"/>
      <c r="B202" s="19"/>
    </row>
    <row r="203" spans="1:2">
      <c r="A203" s="19"/>
      <c r="B203" s="19"/>
    </row>
    <row r="204" spans="1:2">
      <c r="A204" s="19"/>
      <c r="B204" s="19"/>
    </row>
    <row r="205" spans="1:2">
      <c r="A205" s="19"/>
      <c r="B205" s="19"/>
    </row>
    <row r="206" spans="1:2">
      <c r="A206" s="19"/>
      <c r="B206" s="19"/>
    </row>
    <row r="207" spans="1:2">
      <c r="A207" s="19"/>
      <c r="B207" s="19"/>
    </row>
    <row r="208" spans="1:2">
      <c r="A208" s="19"/>
      <c r="B208" s="19"/>
    </row>
    <row r="209" spans="1:2">
      <c r="A209" s="19"/>
      <c r="B209" s="19"/>
    </row>
    <row r="210" spans="1:2">
      <c r="A210" s="19"/>
      <c r="B210" s="19"/>
    </row>
    <row r="211" spans="1:2">
      <c r="A211" s="19"/>
      <c r="B211" s="19"/>
    </row>
    <row r="212" spans="1:2">
      <c r="A212" s="19"/>
      <c r="B212" s="19"/>
    </row>
    <row r="213" spans="1:2">
      <c r="A213" s="19"/>
      <c r="B213" s="19"/>
    </row>
    <row r="214" spans="1:2">
      <c r="A214" s="19"/>
      <c r="B214" s="19"/>
    </row>
    <row r="215" spans="1:2">
      <c r="A215" s="19"/>
      <c r="B215" s="19"/>
    </row>
    <row r="216" spans="1:2">
      <c r="A216" s="19"/>
      <c r="B216" s="19"/>
    </row>
    <row r="217" spans="1:2">
      <c r="A217" s="19"/>
      <c r="B217" s="19"/>
    </row>
    <row r="218" spans="1:2">
      <c r="A218" s="19"/>
      <c r="B218" s="19"/>
    </row>
    <row r="219" spans="1:2">
      <c r="A219" s="19"/>
      <c r="B219" s="19"/>
    </row>
    <row r="220" spans="1:2">
      <c r="A220" s="19"/>
      <c r="B220" s="19"/>
    </row>
    <row r="221" spans="1:2">
      <c r="A221" s="19"/>
      <c r="B221" s="19"/>
    </row>
    <row r="222" spans="1:2">
      <c r="A222" s="19"/>
      <c r="B222" s="19"/>
    </row>
    <row r="223" spans="1:2">
      <c r="A223" s="19"/>
      <c r="B223" s="19"/>
    </row>
    <row r="224" spans="1:2">
      <c r="A224" s="19"/>
      <c r="B224" s="19"/>
    </row>
    <row r="225" spans="1:2">
      <c r="A225" s="19"/>
      <c r="B225" s="19"/>
    </row>
    <row r="226" spans="1:2">
      <c r="A226" s="19"/>
      <c r="B226" s="19"/>
    </row>
    <row r="227" spans="1:2">
      <c r="A227" s="19"/>
      <c r="B227" s="19"/>
    </row>
    <row r="228" spans="1:2">
      <c r="A228" s="19"/>
      <c r="B228" s="19"/>
    </row>
    <row r="229" spans="1:2">
      <c r="A229" s="19"/>
      <c r="B229" s="19"/>
    </row>
    <row r="230" spans="1:2">
      <c r="A230" s="19"/>
      <c r="B230" s="19"/>
    </row>
    <row r="231" spans="1:2">
      <c r="A231" s="19"/>
      <c r="B231" s="19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13" sqref="E13"/>
    </sheetView>
  </sheetViews>
  <sheetFormatPr baseColWidth="10" defaultColWidth="11" defaultRowHeight="14.4"/>
  <cols>
    <col min="2" max="2" width="33.33203125" customWidth="1"/>
    <col min="5" max="5" width="30.5546875" customWidth="1"/>
  </cols>
  <sheetData>
    <row r="1" spans="1:6">
      <c r="A1" t="s">
        <v>3</v>
      </c>
      <c r="B1" t="s">
        <v>27</v>
      </c>
      <c r="E1" s="2" t="s">
        <v>8</v>
      </c>
      <c r="F1" s="2"/>
    </row>
    <row r="2" spans="1:6">
      <c r="A2" s="2">
        <v>1</v>
      </c>
      <c r="B2" s="2" t="s">
        <v>13</v>
      </c>
      <c r="E2" s="2" t="s">
        <v>13</v>
      </c>
      <c r="F2" s="2">
        <v>1500</v>
      </c>
    </row>
    <row r="3" spans="1:6">
      <c r="A3" s="2">
        <v>2</v>
      </c>
      <c r="B3" s="2" t="s">
        <v>17</v>
      </c>
      <c r="E3" s="2" t="s">
        <v>17</v>
      </c>
      <c r="F3" s="2">
        <v>500</v>
      </c>
    </row>
    <row r="4" spans="1:6">
      <c r="A4" s="2">
        <v>3</v>
      </c>
      <c r="B4" s="2" t="s">
        <v>18</v>
      </c>
      <c r="E4" s="2" t="s">
        <v>18</v>
      </c>
      <c r="F4" s="2">
        <v>150</v>
      </c>
    </row>
    <row r="5" spans="1:6">
      <c r="A5" s="2">
        <v>4</v>
      </c>
      <c r="B5" s="2" t="s">
        <v>19</v>
      </c>
      <c r="E5" s="2" t="s">
        <v>19</v>
      </c>
      <c r="F5" s="2">
        <v>2500</v>
      </c>
    </row>
    <row r="6" spans="1:6">
      <c r="A6" s="2">
        <v>5</v>
      </c>
      <c r="B6" s="2" t="s">
        <v>20</v>
      </c>
      <c r="E6" s="2" t="s">
        <v>20</v>
      </c>
      <c r="F6" s="2">
        <v>500</v>
      </c>
    </row>
    <row r="7" spans="1:6">
      <c r="A7" s="2">
        <v>6</v>
      </c>
      <c r="B7" s="2" t="s">
        <v>21</v>
      </c>
      <c r="E7" s="2" t="s">
        <v>21</v>
      </c>
      <c r="F7" s="2">
        <v>4000</v>
      </c>
    </row>
    <row r="8" spans="1:6">
      <c r="A8" s="2">
        <v>7</v>
      </c>
      <c r="B8" s="2" t="s">
        <v>22</v>
      </c>
      <c r="E8" s="2" t="s">
        <v>22</v>
      </c>
      <c r="F8" s="2">
        <v>4500</v>
      </c>
    </row>
    <row r="9" spans="1:6">
      <c r="A9" s="2">
        <v>8</v>
      </c>
      <c r="B9" s="2" t="s">
        <v>23</v>
      </c>
      <c r="E9" s="2" t="s">
        <v>23</v>
      </c>
      <c r="F9" s="2">
        <v>2000</v>
      </c>
    </row>
    <row r="10" spans="1:6">
      <c r="A10" s="2">
        <v>9</v>
      </c>
      <c r="B10" s="2" t="s">
        <v>24</v>
      </c>
      <c r="E10" s="2" t="s">
        <v>24</v>
      </c>
      <c r="F10" s="2">
        <v>1500</v>
      </c>
    </row>
    <row r="11" spans="1:6">
      <c r="A11" s="2">
        <v>10</v>
      </c>
      <c r="B11" s="2" t="s">
        <v>25</v>
      </c>
      <c r="E11" s="2" t="s">
        <v>25</v>
      </c>
      <c r="F11" s="2">
        <v>1000</v>
      </c>
    </row>
    <row r="12" spans="1:6">
      <c r="A12" s="2">
        <v>11</v>
      </c>
      <c r="B12" s="2" t="s">
        <v>26</v>
      </c>
      <c r="E12" s="2" t="s">
        <v>26</v>
      </c>
      <c r="F12" s="2">
        <v>2500</v>
      </c>
    </row>
    <row r="13" spans="1:6">
      <c r="A13" s="36">
        <v>12</v>
      </c>
      <c r="B13" s="37" t="s">
        <v>111</v>
      </c>
      <c r="E13" s="37" t="s">
        <v>112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19"/>
  <sheetViews>
    <sheetView showGridLines="0" tabSelected="1" workbookViewId="0">
      <selection activeCell="J21" sqref="J21"/>
    </sheetView>
  </sheetViews>
  <sheetFormatPr baseColWidth="10" defaultColWidth="11" defaultRowHeight="14.4"/>
  <cols>
    <col min="1" max="1" width="11.44140625" style="3"/>
    <col min="3" max="3" width="33.33203125" customWidth="1"/>
    <col min="4" max="4" width="16.44140625" customWidth="1"/>
    <col min="5" max="5" width="17.109375" customWidth="1"/>
    <col min="9" max="9" width="21" customWidth="1"/>
    <col min="10" max="10" width="13" customWidth="1"/>
    <col min="11" max="11" width="12.33203125" customWidth="1"/>
  </cols>
  <sheetData>
    <row r="6" spans="2:11">
      <c r="B6" s="2" t="s">
        <v>3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</row>
    <row r="7" spans="2:11">
      <c r="B7" s="2">
        <v>1</v>
      </c>
      <c r="C7" s="2" t="s">
        <v>13</v>
      </c>
      <c r="D7" s="4">
        <v>1500</v>
      </c>
      <c r="E7" s="5">
        <f>IFERROR(VLOOKUP(B:B,'TABLA DINAMICA ACTUALIZAR '!A:D,2,FALSE),0)</f>
        <v>1593.2814098289568</v>
      </c>
      <c r="F7" s="6">
        <f>D7-E7</f>
        <v>-93.281409828956839</v>
      </c>
      <c r="G7" s="2" t="str">
        <f t="shared" ref="G7:G15" si="0">IF(F:F&lt;=50,"ALERTA","APTO")</f>
        <v>ALERTA</v>
      </c>
      <c r="I7" s="7" t="s">
        <v>14</v>
      </c>
      <c r="J7" s="7" t="s">
        <v>15</v>
      </c>
      <c r="K7" s="8" t="s">
        <v>16</v>
      </c>
    </row>
    <row r="8" spans="2:11">
      <c r="B8" s="2">
        <v>2</v>
      </c>
      <c r="C8" s="2" t="s">
        <v>17</v>
      </c>
      <c r="D8" s="4">
        <v>500</v>
      </c>
      <c r="E8" s="5">
        <f>IFERROR(VLOOKUP(B:B,'TABLA DINAMICA ACTUALIZAR '!A:D,2,FALSE),0)</f>
        <v>345.68339009757744</v>
      </c>
      <c r="F8" s="6">
        <f t="shared" ref="F8" si="1">D8-E8</f>
        <v>154.31660990242256</v>
      </c>
      <c r="G8" s="2" t="str">
        <f t="shared" si="0"/>
        <v>APTO</v>
      </c>
      <c r="I8" s="9">
        <f>D19</f>
        <v>14000</v>
      </c>
      <c r="J8" s="9">
        <f>E19</f>
        <v>16161.213792225519</v>
      </c>
      <c r="K8" s="10">
        <f>J8/I8*100</f>
        <v>115.43724137303941</v>
      </c>
    </row>
    <row r="9" spans="2:11">
      <c r="B9" s="2">
        <v>3</v>
      </c>
      <c r="C9" s="2" t="s">
        <v>18</v>
      </c>
      <c r="D9" s="4">
        <v>100</v>
      </c>
      <c r="E9" s="5">
        <f>IFERROR(VLOOKUP(B:B,'TABLA DINAMICA ACTUALIZAR '!A:D,2,FALSE),0)</f>
        <v>44.050495041744838</v>
      </c>
      <c r="F9" s="6">
        <f>IFERROR(D9-E9,"")</f>
        <v>55.949504958255162</v>
      </c>
      <c r="G9" s="2" t="str">
        <f t="shared" si="0"/>
        <v>APTO</v>
      </c>
    </row>
    <row r="10" spans="2:11">
      <c r="B10" s="2">
        <v>4</v>
      </c>
      <c r="C10" s="2" t="s">
        <v>19</v>
      </c>
      <c r="D10" s="4">
        <v>1000</v>
      </c>
      <c r="E10" s="5">
        <f>IFERROR(VLOOKUP(B:B,'TABLA DINAMICA ACTUALIZAR '!A:D,2,FALSE),0)</f>
        <v>1638.7119650100528</v>
      </c>
      <c r="F10" s="6">
        <f t="shared" ref="F10:F17" si="2">IFERROR(D10-E10,"")</f>
        <v>-638.71196501005284</v>
      </c>
      <c r="G10" s="2" t="str">
        <f t="shared" si="0"/>
        <v>ALERTA</v>
      </c>
    </row>
    <row r="11" spans="2:11">
      <c r="B11" s="2">
        <v>5</v>
      </c>
      <c r="C11" s="2" t="s">
        <v>20</v>
      </c>
      <c r="D11" s="4">
        <v>500</v>
      </c>
      <c r="E11" s="5">
        <f>IFERROR(VLOOKUP(B:B,'TABLA DINAMICA ACTUALIZAR '!A:D,2,FALSE),0)</f>
        <v>0</v>
      </c>
      <c r="F11" s="6">
        <f t="shared" si="2"/>
        <v>500</v>
      </c>
      <c r="G11" s="2" t="str">
        <f t="shared" si="0"/>
        <v>APTO</v>
      </c>
    </row>
    <row r="12" spans="2:11">
      <c r="B12" s="2">
        <v>6</v>
      </c>
      <c r="C12" s="2" t="s">
        <v>21</v>
      </c>
      <c r="D12" s="4">
        <v>2250</v>
      </c>
      <c r="E12" s="5">
        <f>IFERROR(VLOOKUP(B:B,'TABLA DINAMICA ACTUALIZAR '!A:D,2,FALSE),0)</f>
        <v>2250</v>
      </c>
      <c r="F12" s="6">
        <f t="shared" si="2"/>
        <v>0</v>
      </c>
      <c r="G12" s="2" t="str">
        <f t="shared" si="0"/>
        <v>ALERTA</v>
      </c>
    </row>
    <row r="13" spans="2:11">
      <c r="B13" s="2">
        <v>7</v>
      </c>
      <c r="C13" s="2" t="s">
        <v>22</v>
      </c>
      <c r="D13" s="4">
        <v>4500</v>
      </c>
      <c r="E13" s="5">
        <f>IFERROR(VLOOKUP(B:B,'TABLA DINAMICA ACTUALIZAR '!A:D,2,FALSE),0)</f>
        <v>3450.112146050702</v>
      </c>
      <c r="F13" s="6">
        <f t="shared" si="2"/>
        <v>1049.887853949298</v>
      </c>
      <c r="G13" s="2" t="str">
        <f t="shared" si="0"/>
        <v>APTO</v>
      </c>
    </row>
    <row r="14" spans="2:11">
      <c r="B14" s="2">
        <v>8</v>
      </c>
      <c r="C14" s="2" t="s">
        <v>23</v>
      </c>
      <c r="D14" s="4">
        <v>1200</v>
      </c>
      <c r="E14" s="5">
        <f>IFERROR(VLOOKUP(B:B,'TABLA DINAMICA ACTUALIZAR '!A:D,2,FALSE),0)</f>
        <v>789.51208682593415</v>
      </c>
      <c r="F14" s="6">
        <f t="shared" si="2"/>
        <v>410.48791317406585</v>
      </c>
      <c r="G14" s="2" t="str">
        <f t="shared" si="0"/>
        <v>APTO</v>
      </c>
    </row>
    <row r="15" spans="2:11">
      <c r="B15" s="2">
        <v>9</v>
      </c>
      <c r="C15" s="2" t="s">
        <v>24</v>
      </c>
      <c r="D15" s="4">
        <v>1000</v>
      </c>
      <c r="E15" s="5">
        <f>IFERROR(VLOOKUP(B:B,'TABLA DINAMICA ACTUALIZAR '!A:D,2,FALSE),0)</f>
        <v>3739.5511899152016</v>
      </c>
      <c r="F15" s="6">
        <f t="shared" si="2"/>
        <v>-2739.5511899152016</v>
      </c>
      <c r="G15" s="2" t="str">
        <f t="shared" si="0"/>
        <v>ALERTA</v>
      </c>
    </row>
    <row r="16" spans="2:11">
      <c r="B16" s="2">
        <v>10</v>
      </c>
      <c r="C16" s="2" t="s">
        <v>25</v>
      </c>
      <c r="D16" s="4">
        <v>500</v>
      </c>
      <c r="E16" s="5">
        <f>IFERROR(VLOOKUP(B:B,'TABLA DINAMICA ACTUALIZAR '!A:D,2,FALSE),0)</f>
        <v>0</v>
      </c>
      <c r="F16" s="6">
        <f t="shared" si="2"/>
        <v>500</v>
      </c>
      <c r="G16" s="2" t="str">
        <f t="shared" ref="G16" si="3">IF(F:F&lt;=50,"ALERTA","APTO")</f>
        <v>APTO</v>
      </c>
    </row>
    <row r="17" spans="2:7">
      <c r="B17" s="2">
        <v>11</v>
      </c>
      <c r="C17" s="2" t="s">
        <v>26</v>
      </c>
      <c r="D17" s="4">
        <v>750</v>
      </c>
      <c r="E17" s="5">
        <f>IFERROR(VLOOKUP(B:B,'TABLA DINAMICA ACTUALIZAR '!A:D,2,FALSE),0)</f>
        <v>2000</v>
      </c>
      <c r="F17" s="6">
        <f t="shared" si="2"/>
        <v>-1250</v>
      </c>
      <c r="G17" s="2" t="str">
        <f t="shared" ref="G17" si="4">IF(F:F&lt;=50,"ALERTA","APTO")</f>
        <v>ALERTA</v>
      </c>
    </row>
    <row r="18" spans="2:7">
      <c r="B18" s="2">
        <v>12</v>
      </c>
      <c r="C18" s="37" t="s">
        <v>112</v>
      </c>
      <c r="D18" s="4">
        <v>200</v>
      </c>
      <c r="E18" s="5">
        <f>IFERROR(VLOOKUP(B:B,'TABLA DINAMICA ACTUALIZAR '!A:D,2,FALSE),0)</f>
        <v>310.31110945534766</v>
      </c>
      <c r="F18" s="6">
        <f t="shared" ref="F18" si="5">IFERROR(D18-E18,"")</f>
        <v>-110.31110945534766</v>
      </c>
      <c r="G18" s="2" t="str">
        <f t="shared" ref="G18:G19" si="6">IF(F:F&lt;=50,"ALERTA","APTO")</f>
        <v>ALERTA</v>
      </c>
    </row>
    <row r="19" spans="2:7">
      <c r="D19" s="41">
        <f>SUM(D7:D18)</f>
        <v>14000</v>
      </c>
      <c r="E19" s="11">
        <f>SUM(E7:E18)</f>
        <v>16161.213792225519</v>
      </c>
      <c r="F19" s="43">
        <f>+D19-E19</f>
        <v>-2161.2137922255188</v>
      </c>
      <c r="G19" s="44" t="str">
        <f t="shared" si="6"/>
        <v>ALERTA</v>
      </c>
    </row>
  </sheetData>
  <conditionalFormatting sqref="G1:G1048576">
    <cfRule type="cellIs" dxfId="1" priority="1" operator="equal">
      <formula>"APTO"</formula>
    </cfRule>
    <cfRule type="cellIs" dxfId="0" priority="2" operator="equal">
      <formula>"ALERTA"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"/>
  <sheetViews>
    <sheetView showGridLines="0" workbookViewId="0">
      <selection activeCell="F11" sqref="F11"/>
    </sheetView>
  </sheetViews>
  <sheetFormatPr baseColWidth="10" defaultColWidth="11" defaultRowHeight="14.4"/>
  <cols>
    <col min="1" max="1" width="16.5546875" customWidth="1"/>
    <col min="2" max="2" width="21.44140625" style="14" bestFit="1" customWidth="1"/>
    <col min="3" max="3" width="12" style="14" customWidth="1"/>
    <col min="4" max="4" width="14.6640625" bestFit="1" customWidth="1"/>
    <col min="5" max="9" width="12" customWidth="1"/>
    <col min="10" max="10" width="12.5546875" customWidth="1"/>
  </cols>
  <sheetData>
    <row r="3" spans="1:4">
      <c r="A3" s="21" t="s">
        <v>28</v>
      </c>
      <c r="B3" s="21" t="s">
        <v>29</v>
      </c>
      <c r="C3"/>
      <c r="D3" s="39"/>
    </row>
    <row r="4" spans="1:4">
      <c r="A4" s="21" t="s">
        <v>30</v>
      </c>
      <c r="B4" t="s">
        <v>113</v>
      </c>
      <c r="C4" t="s">
        <v>31</v>
      </c>
      <c r="D4" s="38" t="s">
        <v>114</v>
      </c>
    </row>
    <row r="5" spans="1:4">
      <c r="A5" s="1">
        <v>1</v>
      </c>
      <c r="B5" s="42">
        <v>1593.2814098289568</v>
      </c>
      <c r="C5" s="42">
        <v>1593.2814098289568</v>
      </c>
      <c r="D5" s="40">
        <f>+B5/B$15</f>
        <v>9.8586741708436385E-2</v>
      </c>
    </row>
    <row r="6" spans="1:4">
      <c r="A6" s="1">
        <v>2</v>
      </c>
      <c r="B6" s="42">
        <v>345.68339009757744</v>
      </c>
      <c r="C6" s="42">
        <v>345.68339009757744</v>
      </c>
      <c r="D6" s="40">
        <f t="shared" ref="D6:D15" si="0">+B6/B$15</f>
        <v>2.1389692293030071E-2</v>
      </c>
    </row>
    <row r="7" spans="1:4">
      <c r="A7" s="1">
        <v>3</v>
      </c>
      <c r="B7" s="42">
        <v>44.050495041744838</v>
      </c>
      <c r="C7" s="42">
        <v>44.050495041744838</v>
      </c>
      <c r="D7" s="40">
        <f t="shared" si="0"/>
        <v>2.7256922411938935E-3</v>
      </c>
    </row>
    <row r="8" spans="1:4">
      <c r="A8" s="1">
        <v>4</v>
      </c>
      <c r="B8" s="42">
        <v>1638.7119650100528</v>
      </c>
      <c r="C8" s="42">
        <v>1638.7119650100528</v>
      </c>
      <c r="D8" s="40">
        <f t="shared" si="0"/>
        <v>0.10139782729675716</v>
      </c>
    </row>
    <row r="9" spans="1:4">
      <c r="A9" s="1">
        <v>6</v>
      </c>
      <c r="B9" s="42">
        <v>2250</v>
      </c>
      <c r="C9" s="42">
        <v>2250</v>
      </c>
      <c r="D9" s="40">
        <f t="shared" si="0"/>
        <v>0.1392222161606686</v>
      </c>
    </row>
    <row r="10" spans="1:4">
      <c r="A10" s="1">
        <v>7</v>
      </c>
      <c r="B10" s="42">
        <v>3450.112146050702</v>
      </c>
      <c r="C10" s="42">
        <v>3450.112146050702</v>
      </c>
      <c r="D10" s="40">
        <f t="shared" si="0"/>
        <v>0.21348100398934181</v>
      </c>
    </row>
    <row r="11" spans="1:4">
      <c r="A11" s="1">
        <v>8</v>
      </c>
      <c r="B11" s="42">
        <v>789.51208682593415</v>
      </c>
      <c r="C11" s="42">
        <v>789.51208682593415</v>
      </c>
      <c r="D11" s="40">
        <f t="shared" si="0"/>
        <v>4.8852276628240342E-2</v>
      </c>
    </row>
    <row r="12" spans="1:4">
      <c r="A12" s="1">
        <v>9</v>
      </c>
      <c r="B12" s="42">
        <v>3739.5511899152016</v>
      </c>
      <c r="C12" s="42">
        <v>3739.5511899152016</v>
      </c>
      <c r="D12" s="40">
        <f t="shared" si="0"/>
        <v>0.2313904907138932</v>
      </c>
    </row>
    <row r="13" spans="1:4">
      <c r="A13" s="1">
        <v>11</v>
      </c>
      <c r="B13" s="42">
        <v>2000</v>
      </c>
      <c r="C13" s="42">
        <v>2000</v>
      </c>
      <c r="D13" s="40">
        <f t="shared" si="0"/>
        <v>0.12375308103170543</v>
      </c>
    </row>
    <row r="14" spans="1:4">
      <c r="A14" s="1">
        <v>12</v>
      </c>
      <c r="B14" s="42">
        <v>310.31110945534766</v>
      </c>
      <c r="C14" s="42">
        <v>310.31110945534766</v>
      </c>
      <c r="D14" s="40">
        <f t="shared" si="0"/>
        <v>1.9200977936733025E-2</v>
      </c>
    </row>
    <row r="15" spans="1:4">
      <c r="A15" s="1" t="s">
        <v>31</v>
      </c>
      <c r="B15" s="42">
        <v>16161.213792225519</v>
      </c>
      <c r="C15" s="42">
        <v>16161.213792225519</v>
      </c>
      <c r="D15" s="40">
        <f t="shared" si="0"/>
        <v>1</v>
      </c>
    </row>
    <row r="16" spans="1:4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Gastos Ordinarios Mes a Mes</vt:lpstr>
      <vt:lpstr>AUXILIAR DE CLASIFICACION</vt:lpstr>
      <vt:lpstr>ALERTA</vt:lpstr>
      <vt:lpstr>TABLA DINAMICA ACTUALIZAR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GATEWAY</cp:lastModifiedBy>
  <cp:lastPrinted>2026-08-29T14:48:55Z</cp:lastPrinted>
  <dcterms:created xsi:type="dcterms:W3CDTF">2021-05-20T15:45:00Z</dcterms:created>
  <dcterms:modified xsi:type="dcterms:W3CDTF">2026-09-06T23:43:41Z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5B0009E33D9448468A4D90D12925A8F0_13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